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10ea7232cbe508f/Documents/GitHub/High-Rollers/Pictures/"/>
    </mc:Choice>
  </mc:AlternateContent>
  <xr:revisionPtr revIDLastSave="0" documentId="8_{3F84186A-CFC3-41C6-8D77-7A7595B2F2FA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2021-avgs" sheetId="1" r:id="rId1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6" i="1" l="1"/>
  <c r="I46" i="1"/>
  <c r="H46" i="1"/>
  <c r="G46" i="1"/>
  <c r="F46" i="1"/>
  <c r="E46" i="1"/>
  <c r="D46" i="1"/>
  <c r="C46" i="1"/>
  <c r="B4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B37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B36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B35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B34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B33" i="1"/>
  <c r="B44" i="1" l="1"/>
  <c r="BB34" i="1" s="1" a="1"/>
  <c r="BB34" i="1" s="1"/>
  <c r="B43" i="1"/>
  <c r="BB2" i="1" s="1" a="1"/>
  <c r="BB2" i="1" s="1"/>
  <c r="B40" i="1"/>
  <c r="AB2" i="1" s="1" a="1"/>
  <c r="AB2" i="1" s="1"/>
  <c r="B41" i="1"/>
  <c r="AB34" i="1" s="1" a="1"/>
  <c r="AB34" i="1" s="1"/>
  <c r="W44" i="1"/>
  <c r="BW34" i="1" s="1" a="1"/>
  <c r="BW34" i="1" s="1"/>
  <c r="W43" i="1"/>
  <c r="BW2" i="1" s="1" a="1"/>
  <c r="BW2" i="1" s="1"/>
  <c r="W41" i="1"/>
  <c r="AW34" i="1" s="1" a="1"/>
  <c r="AW34" i="1" s="1"/>
  <c r="W40" i="1"/>
  <c r="AW2" i="1" s="1" a="1"/>
  <c r="AW2" i="1" s="1"/>
  <c r="V44" i="1"/>
  <c r="BV34" i="1" s="1" a="1"/>
  <c r="BV34" i="1" s="1"/>
  <c r="V43" i="1"/>
  <c r="BV2" i="1" s="1" a="1"/>
  <c r="BV2" i="1" s="1"/>
  <c r="V41" i="1"/>
  <c r="AV34" i="1" s="1" a="1"/>
  <c r="AV34" i="1" s="1"/>
  <c r="V40" i="1"/>
  <c r="AV2" i="1" s="1" a="1"/>
  <c r="AV2" i="1" s="1"/>
  <c r="U44" i="1"/>
  <c r="BU34" i="1" s="1" a="1"/>
  <c r="BU34" i="1" s="1"/>
  <c r="U43" i="1"/>
  <c r="BU2" i="1" s="1" a="1"/>
  <c r="BU2" i="1" s="1"/>
  <c r="U41" i="1"/>
  <c r="AU34" i="1" s="1" a="1"/>
  <c r="AU34" i="1" s="1"/>
  <c r="U40" i="1"/>
  <c r="AU2" i="1" s="1" a="1"/>
  <c r="AU2" i="1" s="1"/>
  <c r="T44" i="1"/>
  <c r="BT34" i="1" s="1" a="1"/>
  <c r="BT34" i="1" s="1"/>
  <c r="T43" i="1"/>
  <c r="BT2" i="1" s="1" a="1"/>
  <c r="BT2" i="1" s="1"/>
  <c r="T41" i="1"/>
  <c r="AT34" i="1" s="1" a="1"/>
  <c r="AT34" i="1" s="1"/>
  <c r="T40" i="1"/>
  <c r="AT2" i="1" s="1" a="1"/>
  <c r="AT2" i="1" s="1"/>
  <c r="S44" i="1"/>
  <c r="BS34" i="1" s="1" a="1"/>
  <c r="BS34" i="1" s="1"/>
  <c r="S43" i="1"/>
  <c r="BS2" i="1" s="1" a="1"/>
  <c r="BS2" i="1" s="1"/>
  <c r="S41" i="1"/>
  <c r="AS34" i="1" s="1" a="1"/>
  <c r="AS34" i="1" s="1"/>
  <c r="S40" i="1"/>
  <c r="AS2" i="1" s="1" a="1"/>
  <c r="AS2" i="1" s="1"/>
  <c r="R44" i="1"/>
  <c r="BR34" i="1" s="1" a="1"/>
  <c r="BR34" i="1" s="1"/>
  <c r="R43" i="1"/>
  <c r="BR2" i="1" s="1" a="1"/>
  <c r="BR2" i="1" s="1"/>
  <c r="R41" i="1"/>
  <c r="AR34" i="1" s="1" a="1"/>
  <c r="AR34" i="1" s="1"/>
  <c r="R40" i="1"/>
  <c r="AR2" i="1" s="1" a="1"/>
  <c r="AR2" i="1" s="1"/>
  <c r="Q44" i="1"/>
  <c r="BQ34" i="1" s="1" a="1"/>
  <c r="BQ34" i="1" s="1"/>
  <c r="Q43" i="1"/>
  <c r="BQ2" i="1" s="1" a="1"/>
  <c r="BQ2" i="1" s="1"/>
  <c r="Q41" i="1"/>
  <c r="AQ34" i="1" s="1" a="1"/>
  <c r="AQ34" i="1" s="1"/>
  <c r="Q40" i="1"/>
  <c r="AQ2" i="1" s="1" a="1"/>
  <c r="AQ2" i="1" s="1"/>
  <c r="P44" i="1"/>
  <c r="BP34" i="1" s="1" a="1"/>
  <c r="BP34" i="1" s="1"/>
  <c r="P43" i="1"/>
  <c r="BP2" i="1" s="1" a="1"/>
  <c r="BP2" i="1" s="1"/>
  <c r="P41" i="1"/>
  <c r="AP34" i="1" s="1" a="1"/>
  <c r="AP34" i="1" s="1"/>
  <c r="P40" i="1"/>
  <c r="AP2" i="1" s="1" a="1"/>
  <c r="AP2" i="1" s="1"/>
  <c r="O44" i="1"/>
  <c r="BO34" i="1" s="1" a="1"/>
  <c r="BO34" i="1" s="1"/>
  <c r="O43" i="1"/>
  <c r="BO2" i="1" s="1" a="1"/>
  <c r="BO2" i="1" s="1"/>
  <c r="O41" i="1"/>
  <c r="AO34" i="1" s="1" a="1"/>
  <c r="AO34" i="1" s="1"/>
  <c r="O40" i="1"/>
  <c r="AO2" i="1" s="1" a="1"/>
  <c r="AO2" i="1" s="1"/>
  <c r="N44" i="1"/>
  <c r="BN34" i="1" s="1" a="1"/>
  <c r="BN34" i="1" s="1"/>
  <c r="N43" i="1"/>
  <c r="BN2" i="1" s="1" a="1"/>
  <c r="BN2" i="1" s="1"/>
  <c r="N41" i="1"/>
  <c r="AN34" i="1" s="1" a="1"/>
  <c r="AN34" i="1" s="1"/>
  <c r="N40" i="1"/>
  <c r="AN2" i="1" s="1" a="1"/>
  <c r="AN2" i="1" s="1"/>
  <c r="M44" i="1"/>
  <c r="BM34" i="1" s="1" a="1"/>
  <c r="BM34" i="1" s="1"/>
  <c r="M43" i="1"/>
  <c r="BM2" i="1" s="1" a="1"/>
  <c r="BM2" i="1" s="1"/>
  <c r="M41" i="1"/>
  <c r="AM34" i="1" s="1" a="1"/>
  <c r="AM34" i="1" s="1"/>
  <c r="M40" i="1"/>
  <c r="AM2" i="1" s="1" a="1"/>
  <c r="AM2" i="1" s="1"/>
  <c r="L44" i="1"/>
  <c r="BL34" i="1" s="1" a="1"/>
  <c r="BL34" i="1" s="1"/>
  <c r="L43" i="1"/>
  <c r="BL2" i="1" s="1" a="1"/>
  <c r="BL2" i="1" s="1"/>
  <c r="L41" i="1"/>
  <c r="AL34" i="1" s="1" a="1"/>
  <c r="AL34" i="1" s="1"/>
  <c r="L40" i="1"/>
  <c r="AL2" i="1" s="1" a="1"/>
  <c r="AL2" i="1" s="1"/>
  <c r="K44" i="1"/>
  <c r="BK34" i="1" s="1" a="1"/>
  <c r="BK34" i="1" s="1"/>
  <c r="K43" i="1"/>
  <c r="BK2" i="1" s="1" a="1"/>
  <c r="BK2" i="1" s="1"/>
  <c r="K41" i="1"/>
  <c r="AK34" i="1" s="1" a="1"/>
  <c r="AK34" i="1" s="1"/>
  <c r="K40" i="1"/>
  <c r="AK2" i="1" s="1" a="1"/>
  <c r="AK2" i="1" s="1"/>
  <c r="J44" i="1"/>
  <c r="BJ34" i="1" s="1" a="1"/>
  <c r="BJ34" i="1" s="1"/>
  <c r="J43" i="1"/>
  <c r="BJ2" i="1" s="1" a="1"/>
  <c r="BJ2" i="1" s="1"/>
  <c r="J41" i="1"/>
  <c r="AJ34" i="1" s="1" a="1"/>
  <c r="AJ34" i="1" s="1"/>
  <c r="J40" i="1"/>
  <c r="AJ2" i="1" s="1" a="1"/>
  <c r="AJ2" i="1" s="1"/>
  <c r="I44" i="1"/>
  <c r="BI34" i="1" s="1" a="1"/>
  <c r="BI34" i="1" s="1"/>
  <c r="I43" i="1"/>
  <c r="BI2" i="1" s="1" a="1"/>
  <c r="BI2" i="1" s="1"/>
  <c r="I41" i="1"/>
  <c r="AI34" i="1" s="1" a="1"/>
  <c r="AI34" i="1" s="1"/>
  <c r="I40" i="1"/>
  <c r="AI2" i="1" s="1" a="1"/>
  <c r="AI2" i="1" s="1"/>
  <c r="H44" i="1"/>
  <c r="BH34" i="1" s="1" a="1"/>
  <c r="BH34" i="1" s="1"/>
  <c r="H43" i="1"/>
  <c r="BH2" i="1" s="1" a="1"/>
  <c r="BH2" i="1" s="1"/>
  <c r="H41" i="1"/>
  <c r="AH34" i="1" s="1" a="1"/>
  <c r="AH34" i="1" s="1"/>
  <c r="H40" i="1"/>
  <c r="AH2" i="1" s="1" a="1"/>
  <c r="AH2" i="1" s="1"/>
  <c r="G44" i="1"/>
  <c r="BG34" i="1" s="1" a="1"/>
  <c r="BG34" i="1" s="1"/>
  <c r="G43" i="1"/>
  <c r="BG2" i="1" s="1" a="1"/>
  <c r="BG2" i="1" s="1"/>
  <c r="G41" i="1"/>
  <c r="AG34" i="1" s="1" a="1"/>
  <c r="AG34" i="1" s="1"/>
  <c r="G40" i="1"/>
  <c r="AG2" i="1" s="1" a="1"/>
  <c r="AG2" i="1" s="1"/>
  <c r="F44" i="1"/>
  <c r="BF34" i="1" s="1" a="1"/>
  <c r="BF34" i="1" s="1"/>
  <c r="F43" i="1"/>
  <c r="BF2" i="1" s="1" a="1"/>
  <c r="BF2" i="1" s="1"/>
  <c r="F41" i="1"/>
  <c r="AF34" i="1" s="1" a="1"/>
  <c r="AF34" i="1" s="1"/>
  <c r="F40" i="1"/>
  <c r="AF2" i="1" s="1" a="1"/>
  <c r="AF2" i="1" s="1"/>
  <c r="E44" i="1"/>
  <c r="BE34" i="1" s="1" a="1"/>
  <c r="BE34" i="1" s="1"/>
  <c r="E43" i="1"/>
  <c r="BE2" i="1" s="1" a="1"/>
  <c r="BE2" i="1" s="1"/>
  <c r="E41" i="1"/>
  <c r="AE34" i="1" s="1" a="1"/>
  <c r="AE34" i="1" s="1"/>
  <c r="E40" i="1"/>
  <c r="AE2" i="1" s="1" a="1"/>
  <c r="AE2" i="1" s="1"/>
  <c r="D44" i="1"/>
  <c r="BD34" i="1" s="1" a="1"/>
  <c r="BD34" i="1" s="1"/>
  <c r="D43" i="1"/>
  <c r="BD2" i="1" s="1" a="1"/>
  <c r="BD2" i="1" s="1"/>
  <c r="D41" i="1"/>
  <c r="AD34" i="1" s="1" a="1"/>
  <c r="AD34" i="1" s="1"/>
  <c r="D40" i="1"/>
  <c r="AD2" i="1" s="1" a="1"/>
  <c r="AD2" i="1" s="1"/>
  <c r="C44" i="1"/>
  <c r="BC34" i="1" s="1" a="1"/>
  <c r="BC34" i="1" s="1"/>
  <c r="C43" i="1"/>
  <c r="BC2" i="1" s="1" a="1"/>
  <c r="BC2" i="1" s="1"/>
  <c r="C41" i="1"/>
  <c r="AC34" i="1" s="1" a="1"/>
  <c r="AC34" i="1" s="1"/>
  <c r="C40" i="1"/>
  <c r="AC2" i="1" s="1" a="1"/>
  <c r="AC2" i="1" s="1"/>
  <c r="B38" i="1"/>
  <c r="W38" i="1"/>
  <c r="V38" i="1"/>
  <c r="U38" i="1"/>
  <c r="T38" i="1"/>
  <c r="S38" i="1"/>
  <c r="R38" i="1"/>
  <c r="Q38" i="1"/>
  <c r="P38" i="1"/>
  <c r="O38" i="1"/>
  <c r="N38" i="1"/>
  <c r="M38" i="1"/>
  <c r="L38" i="1"/>
  <c r="K38" i="1"/>
  <c r="J38" i="1"/>
  <c r="I38" i="1"/>
  <c r="H38" i="1"/>
  <c r="G38" i="1"/>
  <c r="F38" i="1"/>
  <c r="E38" i="1"/>
  <c r="D38" i="1"/>
  <c r="C3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<sst xmlns="http://schemas.openxmlformats.org/spreadsheetml/2006/main" count="287" uniqueCount="77">
  <si>
    <t>Tm</t>
  </si>
  <si>
    <t>FG</t>
  </si>
  <si>
    <t>FGA</t>
  </si>
  <si>
    <t>FG%</t>
  </si>
  <si>
    <t>3P</t>
  </si>
  <si>
    <t>3PA</t>
  </si>
  <si>
    <t>3P%</t>
  </si>
  <si>
    <t>2P</t>
  </si>
  <si>
    <t>2PA</t>
  </si>
  <si>
    <t>2P%</t>
  </si>
  <si>
    <t>eFG%</t>
  </si>
  <si>
    <t>FT</t>
  </si>
  <si>
    <t>FTA</t>
  </si>
  <si>
    <t>FT%</t>
  </si>
  <si>
    <t>ORB</t>
  </si>
  <si>
    <t>DRB</t>
  </si>
  <si>
    <t>TRB</t>
  </si>
  <si>
    <t>AST</t>
  </si>
  <si>
    <t>STL</t>
  </si>
  <si>
    <t>BLK</t>
  </si>
  <si>
    <t>TOV</t>
  </si>
  <si>
    <t>PF</t>
  </si>
  <si>
    <t>PTS</t>
  </si>
  <si>
    <t>3 SD --&gt;</t>
  </si>
  <si>
    <t>FG LO</t>
  </si>
  <si>
    <t>2 SD --&gt;</t>
  </si>
  <si>
    <t>ATL</t>
  </si>
  <si>
    <t>BOS</t>
  </si>
  <si>
    <t>BRK</t>
  </si>
  <si>
    <t>CHI</t>
  </si>
  <si>
    <t>CHO</t>
  </si>
  <si>
    <t>CLE</t>
  </si>
  <si>
    <t>DAL</t>
  </si>
  <si>
    <t>DEN</t>
  </si>
  <si>
    <t>DET</t>
  </si>
  <si>
    <t>GSW</t>
  </si>
  <si>
    <t>HOU</t>
  </si>
  <si>
    <t>IND</t>
  </si>
  <si>
    <t>LAC</t>
  </si>
  <si>
    <t>LAL</t>
  </si>
  <si>
    <t>MEM</t>
  </si>
  <si>
    <t>MIA</t>
  </si>
  <si>
    <t>MIL</t>
  </si>
  <si>
    <t>MIN</t>
  </si>
  <si>
    <t>NOP</t>
  </si>
  <si>
    <t>NYK</t>
  </si>
  <si>
    <t>OKC</t>
  </si>
  <si>
    <t>ORL</t>
  </si>
  <si>
    <t>PHI</t>
  </si>
  <si>
    <t>PHO</t>
  </si>
  <si>
    <t>POR</t>
  </si>
  <si>
    <t>SAC</t>
  </si>
  <si>
    <t>SAS</t>
  </si>
  <si>
    <t>TOR</t>
  </si>
  <si>
    <t>UTA</t>
  </si>
  <si>
    <t>WAS</t>
  </si>
  <si>
    <t>average</t>
  </si>
  <si>
    <t>FG UP</t>
  </si>
  <si>
    <t>st dev</t>
  </si>
  <si>
    <t>Q1</t>
  </si>
  <si>
    <t>Q2</t>
  </si>
  <si>
    <t>Q3</t>
  </si>
  <si>
    <t>IQR</t>
  </si>
  <si>
    <t>Lower Out (3)</t>
  </si>
  <si>
    <t>Higher Out (3)</t>
  </si>
  <si>
    <t>Lower Out (2)</t>
  </si>
  <si>
    <t>Higher Out (2)</t>
  </si>
  <si>
    <t>Correlations</t>
  </si>
  <si>
    <t>pts &amp; ast</t>
  </si>
  <si>
    <t>ast &amp; blk</t>
  </si>
  <si>
    <t>stl &amp; dfr</t>
  </si>
  <si>
    <t>dbr &amp; pf</t>
  </si>
  <si>
    <t>drb &amp; blk</t>
  </si>
  <si>
    <t>orb &amp; drb</t>
  </si>
  <si>
    <t>3pa &amp; drb</t>
  </si>
  <si>
    <t>fga &amp; ofr</t>
  </si>
  <si>
    <t>tov &amp; 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</si>
</sst>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W63"/>
  <sheetViews>
    <sheetView tabSelected="1" topLeftCell="A14" zoomScaleNormal="100" workbookViewId="0">
      <selection activeCell="E46" sqref="E46"/>
    </sheetView>
  </sheetViews>
  <sheetFormatPr defaultRowHeight="14.5" x14ac:dyDescent="0.35"/>
  <cols>
    <col min="1" max="1" width="12.54296875" bestFit="1" customWidth="1"/>
  </cols>
  <sheetData>
    <row r="1" spans="1:7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Z1" t="s">
        <v>23</v>
      </c>
      <c r="AA1" t="s">
        <v>0</v>
      </c>
      <c r="AB1" t="s">
        <v>24</v>
      </c>
      <c r="AC1" t="s">
        <v>2</v>
      </c>
      <c r="AD1" t="s">
        <v>3</v>
      </c>
      <c r="AE1" t="s">
        <v>4</v>
      </c>
      <c r="AF1" t="s">
        <v>5</v>
      </c>
      <c r="AG1" t="s">
        <v>6</v>
      </c>
      <c r="AH1" t="s">
        <v>7</v>
      </c>
      <c r="AI1" t="s">
        <v>8</v>
      </c>
      <c r="AJ1" t="s">
        <v>9</v>
      </c>
      <c r="AK1" t="s">
        <v>10</v>
      </c>
      <c r="AL1" t="s">
        <v>11</v>
      </c>
      <c r="AM1" t="s">
        <v>12</v>
      </c>
      <c r="AN1" t="s">
        <v>13</v>
      </c>
      <c r="AO1" t="s">
        <v>14</v>
      </c>
      <c r="AP1" t="s">
        <v>15</v>
      </c>
      <c r="AQ1" t="s">
        <v>16</v>
      </c>
      <c r="AR1" t="s">
        <v>17</v>
      </c>
      <c r="AS1" t="s">
        <v>18</v>
      </c>
      <c r="AT1" t="s">
        <v>19</v>
      </c>
      <c r="AU1" t="s">
        <v>20</v>
      </c>
      <c r="AV1" t="s">
        <v>21</v>
      </c>
      <c r="AW1" t="s">
        <v>22</v>
      </c>
      <c r="AZ1" t="s">
        <v>25</v>
      </c>
      <c r="BA1" t="s">
        <v>0</v>
      </c>
      <c r="BB1" t="s">
        <v>24</v>
      </c>
      <c r="BC1" t="s">
        <v>2</v>
      </c>
      <c r="BD1" t="s">
        <v>3</v>
      </c>
      <c r="BE1" t="s">
        <v>4</v>
      </c>
      <c r="BF1" t="s">
        <v>5</v>
      </c>
      <c r="BG1" t="s">
        <v>6</v>
      </c>
      <c r="BH1" t="s">
        <v>7</v>
      </c>
      <c r="BI1" t="s">
        <v>8</v>
      </c>
      <c r="BJ1" t="s">
        <v>9</v>
      </c>
      <c r="BK1" t="s">
        <v>10</v>
      </c>
      <c r="BL1" t="s">
        <v>11</v>
      </c>
      <c r="BM1" t="s">
        <v>12</v>
      </c>
      <c r="BN1" t="s">
        <v>13</v>
      </c>
      <c r="BO1" t="s">
        <v>14</v>
      </c>
      <c r="BP1" t="s">
        <v>15</v>
      </c>
      <c r="BQ1" t="s">
        <v>16</v>
      </c>
      <c r="BR1" t="s">
        <v>17</v>
      </c>
      <c r="BS1" t="s">
        <v>18</v>
      </c>
      <c r="BT1" t="s">
        <v>19</v>
      </c>
      <c r="BU1" t="s">
        <v>20</v>
      </c>
      <c r="BV1" t="s">
        <v>21</v>
      </c>
      <c r="BW1" t="s">
        <v>22</v>
      </c>
    </row>
    <row r="2" spans="1:75" x14ac:dyDescent="0.35">
      <c r="A2" t="s">
        <v>26</v>
      </c>
      <c r="B2">
        <v>163.166666666666</v>
      </c>
      <c r="C2">
        <v>348.944444444444</v>
      </c>
      <c r="D2">
        <v>0.43172222222222201</v>
      </c>
      <c r="E2">
        <v>49.7222222222222</v>
      </c>
      <c r="F2">
        <v>133.444444444444</v>
      </c>
      <c r="G2">
        <v>0.29952941176470499</v>
      </c>
      <c r="H2">
        <v>113.444444444444</v>
      </c>
      <c r="I2">
        <v>215.5</v>
      </c>
      <c r="J2">
        <v>0.47205555555555501</v>
      </c>
      <c r="K2">
        <v>0.49683333333333302</v>
      </c>
      <c r="L2">
        <v>78.7222222222222</v>
      </c>
      <c r="M2">
        <v>96.9444444444444</v>
      </c>
      <c r="N2">
        <v>0.78383333333333305</v>
      </c>
      <c r="O2">
        <v>42.2222222222222</v>
      </c>
      <c r="P2">
        <v>140.277777777777</v>
      </c>
      <c r="Q2">
        <v>182.5</v>
      </c>
      <c r="R2">
        <v>96.5</v>
      </c>
      <c r="S2">
        <v>27.9444444444444</v>
      </c>
      <c r="T2">
        <v>19</v>
      </c>
      <c r="U2">
        <v>50.7777777777777</v>
      </c>
      <c r="V2">
        <v>77.3333333333333</v>
      </c>
      <c r="W2">
        <v>454.77777777777698</v>
      </c>
      <c r="AA2" t="s">
        <v>26</v>
      </c>
      <c r="AB2" cm="1">
        <f t="array" ref="AB2:AB31">IF(B2:B31&lt;B40, 1, 0)</f>
        <v>0</v>
      </c>
      <c r="AC2" cm="1">
        <f t="array" ref="AC2:AC31">IF(C2:C31&lt;C40, 1, 0)</f>
        <v>0</v>
      </c>
      <c r="AD2" cm="1">
        <f t="array" ref="AD2:AD31">IF(D2:D31&lt;D40, 1, 0)</f>
        <v>0</v>
      </c>
      <c r="AE2" cm="1">
        <f t="array" ref="AE2:AE31">IF(E2:E31&lt;E40, 1, 0)</f>
        <v>0</v>
      </c>
      <c r="AF2" cm="1">
        <f t="array" ref="AF2:AF31">IF(F2:F31&lt;F40, 1, 0)</f>
        <v>0</v>
      </c>
      <c r="AG2" cm="1">
        <f t="array" ref="AG2:AG31">IF(G2:G31&lt;G40, 1, 0)</f>
        <v>0</v>
      </c>
      <c r="AH2" cm="1">
        <f t="array" ref="AH2:AH31">IF(H2:H31&lt;H40, 1, 0)</f>
        <v>0</v>
      </c>
      <c r="AI2" cm="1">
        <f t="array" ref="AI2:AI31">IF(I2:I31&lt;I40, 1, 0)</f>
        <v>0</v>
      </c>
      <c r="AJ2" cm="1">
        <f t="array" ref="AJ2:AJ31">IF(J2:J31&lt;J40, 1, 0)</f>
        <v>0</v>
      </c>
      <c r="AK2" cm="1">
        <f t="array" ref="AK2:AK31">IF(K2:K31&lt;K40, 1, 0)</f>
        <v>0</v>
      </c>
      <c r="AL2" cm="1">
        <f t="array" ref="AL2:AL31">IF(L2:L31&lt;L40, 1, 0)</f>
        <v>0</v>
      </c>
      <c r="AM2" cm="1">
        <f t="array" ref="AM2:AM31">IF(M2:M31&lt;M40, 1, 0)</f>
        <v>0</v>
      </c>
      <c r="AN2" cm="1">
        <f t="array" ref="AN2:AN31">IF(N2:N31&lt;N40, 1, 0)</f>
        <v>0</v>
      </c>
      <c r="AO2" cm="1">
        <f t="array" ref="AO2:AO31">IF(O2:O31&lt;O40, 1, 0)</f>
        <v>0</v>
      </c>
      <c r="AP2" cm="1">
        <f t="array" ref="AP2:AP31">IF(P2:P31&lt;P40, 1, 0)</f>
        <v>0</v>
      </c>
      <c r="AQ2" cm="1">
        <f t="array" ref="AQ2:AQ31">IF(Q2:Q31&lt;Q40, 1, 0)</f>
        <v>0</v>
      </c>
      <c r="AR2" cm="1">
        <f t="array" ref="AR2:AR31">IF(R2:R31&lt;R40, 1, 0)</f>
        <v>0</v>
      </c>
      <c r="AS2" cm="1">
        <f t="array" ref="AS2:AS31">IF(S2:S31&lt;S40, 1, 0)</f>
        <v>0</v>
      </c>
      <c r="AT2" cm="1">
        <f t="array" ref="AT2:AT31">IF(T2:T31&lt;T40, 1, 0)</f>
        <v>0</v>
      </c>
      <c r="AU2" cm="1">
        <f t="array" ref="AU2:AU31">IF(U2:U31&lt;U40, 1, 0)</f>
        <v>0</v>
      </c>
      <c r="AV2" cm="1">
        <f t="array" ref="AV2:AV31">IF(V2:V31&lt;V40, 1, 0)</f>
        <v>0</v>
      </c>
      <c r="AW2" cm="1">
        <f t="array" ref="AW2:AW31">IF(W2:W31&lt;W40, 1, 0)</f>
        <v>0</v>
      </c>
      <c r="BA2" t="s">
        <v>26</v>
      </c>
      <c r="BB2" cm="1">
        <f t="array" ref="BB2:BB31">IF(B2:B31&lt;B43, 1, 0)</f>
        <v>0</v>
      </c>
      <c r="BC2" cm="1">
        <f t="array" ref="BC2:BC31">IF(C2:C31&lt;C43, 1, 0)</f>
        <v>0</v>
      </c>
      <c r="BD2" cm="1">
        <f t="array" ref="BD2:BD31">IF(D2:D31&lt;D43, 1, 0)</f>
        <v>0</v>
      </c>
      <c r="BE2" cm="1">
        <f t="array" ref="BE2:BE31">IF(E2:E31&lt;E43, 1, 0)</f>
        <v>0</v>
      </c>
      <c r="BF2" cm="1">
        <f t="array" ref="BF2:BF31">IF(F2:F31&lt;F43, 1, 0)</f>
        <v>0</v>
      </c>
      <c r="BG2" cm="1">
        <f t="array" ref="BG2:BG31">IF(G2:G31&lt;G43, 1, 0)</f>
        <v>0</v>
      </c>
      <c r="BH2" cm="1">
        <f t="array" ref="BH2:BH31">IF(H2:H31&lt;H43, 1, 0)</f>
        <v>0</v>
      </c>
      <c r="BI2" cm="1">
        <f t="array" ref="BI2:BI31">IF(I2:I31&lt;I43, 1, 0)</f>
        <v>0</v>
      </c>
      <c r="BJ2" cm="1">
        <f t="array" ref="BJ2:BJ31">IF(J2:J31&lt;J43, 1, 0)</f>
        <v>0</v>
      </c>
      <c r="BK2" cm="1">
        <f t="array" ref="BK2:BK31">IF(K2:K31&lt;K43, 1, 0)</f>
        <v>0</v>
      </c>
      <c r="BL2" cm="1">
        <f t="array" ref="BL2:BL31">IF(L2:L31&lt;L43, 1, 0)</f>
        <v>0</v>
      </c>
      <c r="BM2" cm="1">
        <f t="array" ref="BM2:BM31">IF(M2:M31&lt;M43, 1, 0)</f>
        <v>0</v>
      </c>
      <c r="BN2" cm="1">
        <f t="array" ref="BN2:BN31">IF(N2:N31&lt;N43, 1, 0)</f>
        <v>0</v>
      </c>
      <c r="BO2" cm="1">
        <f t="array" ref="BO2:BO31">IF(O2:O31&lt;O43, 1, 0)</f>
        <v>0</v>
      </c>
      <c r="BP2" cm="1">
        <f t="array" ref="BP2:BP31">IF(P2:P31&lt;P43, 1, 0)</f>
        <v>0</v>
      </c>
      <c r="BQ2" cm="1">
        <f t="array" ref="BQ2:BQ31">IF(Q2:Q31&lt;Q43, 1, 0)</f>
        <v>0</v>
      </c>
      <c r="BR2" cm="1">
        <f t="array" ref="BR2:BR31">IF(R2:R31&lt;R43, 1, 0)</f>
        <v>0</v>
      </c>
      <c r="BS2" cm="1">
        <f t="array" ref="BS2:BS31">IF(S2:S31&lt;S43, 1, 0)</f>
        <v>0</v>
      </c>
      <c r="BT2" cm="1">
        <f t="array" ref="BT2:BT31">IF(T2:T31&lt;T43, 1, 0)</f>
        <v>0</v>
      </c>
      <c r="BU2" cm="1">
        <f t="array" ref="BU2:BU31">IF(U2:U31&lt;U43, 1, 0)</f>
        <v>0</v>
      </c>
      <c r="BV2" cm="1">
        <f t="array" ref="BV2:BV31">IF(V2:V31&lt;V43, 1, 0)</f>
        <v>0</v>
      </c>
      <c r="BW2" cm="1">
        <f t="array" ref="BW2:BW31">IF(W2:W31&lt;W43, 1, 0)</f>
        <v>0</v>
      </c>
    </row>
    <row r="3" spans="1:75" x14ac:dyDescent="0.35">
      <c r="A3" t="s">
        <v>27</v>
      </c>
      <c r="B3">
        <v>142.142857142857</v>
      </c>
      <c r="C3">
        <v>304.809523809523</v>
      </c>
      <c r="D3">
        <v>0.47099999999999997</v>
      </c>
      <c r="E3">
        <v>46.619047619047599</v>
      </c>
      <c r="F3">
        <v>124.666666666666</v>
      </c>
      <c r="G3">
        <v>0.31635000000000002</v>
      </c>
      <c r="H3">
        <v>95.523809523809504</v>
      </c>
      <c r="I3">
        <v>180.142857142857</v>
      </c>
      <c r="J3">
        <v>0.52890476190476099</v>
      </c>
      <c r="K3">
        <v>0.54066666666666596</v>
      </c>
      <c r="L3">
        <v>55.238095238095198</v>
      </c>
      <c r="M3">
        <v>71.238095238095198</v>
      </c>
      <c r="N3">
        <v>0.71833333333333305</v>
      </c>
      <c r="O3">
        <v>36.428571428571402</v>
      </c>
      <c r="P3">
        <v>115.28571428571399</v>
      </c>
      <c r="Q3">
        <v>151.71428571428501</v>
      </c>
      <c r="R3">
        <v>80.428571428571402</v>
      </c>
      <c r="S3">
        <v>26.4761904761904</v>
      </c>
      <c r="T3">
        <v>18.238095238095202</v>
      </c>
      <c r="U3">
        <v>45.904761904761898</v>
      </c>
      <c r="V3">
        <v>70.047619047618994</v>
      </c>
      <c r="W3">
        <v>386.142857142857</v>
      </c>
      <c r="AA3" t="s">
        <v>27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BA3" t="s">
        <v>27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</row>
    <row r="4" spans="1:75" x14ac:dyDescent="0.35">
      <c r="A4" t="s">
        <v>28</v>
      </c>
      <c r="B4">
        <v>115.037037037037</v>
      </c>
      <c r="C4">
        <v>232.92592592592499</v>
      </c>
      <c r="D4">
        <v>0.43444444444444402</v>
      </c>
      <c r="E4">
        <v>37.7777777777777</v>
      </c>
      <c r="F4">
        <v>96.296296296296205</v>
      </c>
      <c r="G4">
        <v>0.31141666666666601</v>
      </c>
      <c r="H4">
        <v>77.259259259259196</v>
      </c>
      <c r="I4">
        <v>136.62962962962899</v>
      </c>
      <c r="J4">
        <v>0.48692592592592499</v>
      </c>
      <c r="K4">
        <v>0.49259259259259203</v>
      </c>
      <c r="L4">
        <v>48.3333333333333</v>
      </c>
      <c r="M4">
        <v>60.1111111111111</v>
      </c>
      <c r="N4">
        <v>0.79327272727272702</v>
      </c>
      <c r="O4">
        <v>23.703703703703699</v>
      </c>
      <c r="P4">
        <v>94.7777777777777</v>
      </c>
      <c r="Q4">
        <v>118.481481481481</v>
      </c>
      <c r="R4">
        <v>71.4444444444444</v>
      </c>
      <c r="S4">
        <v>17.925925925925899</v>
      </c>
      <c r="T4">
        <v>14.037037037037001</v>
      </c>
      <c r="U4">
        <v>34.962962962962898</v>
      </c>
      <c r="V4">
        <v>50.7777777777777</v>
      </c>
      <c r="W4">
        <v>316.18518518518499</v>
      </c>
      <c r="AA4" t="s">
        <v>28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BA4" t="s">
        <v>28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</row>
    <row r="5" spans="1:75" x14ac:dyDescent="0.35">
      <c r="A5" t="s">
        <v>29</v>
      </c>
      <c r="B5">
        <v>137.95454545454501</v>
      </c>
      <c r="C5">
        <v>290</v>
      </c>
      <c r="D5">
        <v>0.45554545454545398</v>
      </c>
      <c r="E5">
        <v>41.090909090909001</v>
      </c>
      <c r="F5">
        <v>111.181818181818</v>
      </c>
      <c r="G5">
        <v>0.30371428571428499</v>
      </c>
      <c r="H5">
        <v>96.863636363636303</v>
      </c>
      <c r="I5">
        <v>178.81818181818099</v>
      </c>
      <c r="J5">
        <v>0.54609090909090896</v>
      </c>
      <c r="K5">
        <v>0.513954545454545</v>
      </c>
      <c r="L5">
        <v>45.227272727272698</v>
      </c>
      <c r="M5">
        <v>57.181818181818102</v>
      </c>
      <c r="N5">
        <v>0.74399999999999999</v>
      </c>
      <c r="O5">
        <v>31.5</v>
      </c>
      <c r="P5">
        <v>115.636363636363</v>
      </c>
      <c r="Q5">
        <v>147.136363636363</v>
      </c>
      <c r="R5">
        <v>87.590909090909093</v>
      </c>
      <c r="S5">
        <v>21.909090909090899</v>
      </c>
      <c r="T5">
        <v>13.818181818181801</v>
      </c>
      <c r="U5">
        <v>47.5</v>
      </c>
      <c r="V5">
        <v>61.909090909090899</v>
      </c>
      <c r="W5">
        <v>362.22727272727201</v>
      </c>
      <c r="AA5" t="s">
        <v>29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BA5" t="s">
        <v>29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</row>
    <row r="6" spans="1:75" x14ac:dyDescent="0.35">
      <c r="A6" t="s">
        <v>30</v>
      </c>
      <c r="B6">
        <v>169.117647058823</v>
      </c>
      <c r="C6">
        <v>372</v>
      </c>
      <c r="D6">
        <v>0.46288235294117602</v>
      </c>
      <c r="E6">
        <v>57.941176470588204</v>
      </c>
      <c r="F6">
        <v>156.82352941176401</v>
      </c>
      <c r="G6">
        <v>0.28070588235294103</v>
      </c>
      <c r="H6">
        <v>111.17647058823501</v>
      </c>
      <c r="I6">
        <v>215.17647058823499</v>
      </c>
      <c r="J6">
        <v>0.53156249999999905</v>
      </c>
      <c r="K6">
        <v>0.52564705882352902</v>
      </c>
      <c r="L6">
        <v>67.411764705882305</v>
      </c>
      <c r="M6">
        <v>88.529411764705799</v>
      </c>
      <c r="N6">
        <v>0.75756250000000003</v>
      </c>
      <c r="O6">
        <v>44.823529411764703</v>
      </c>
      <c r="P6">
        <v>140.529411764705</v>
      </c>
      <c r="Q6">
        <v>185.35294117647001</v>
      </c>
      <c r="R6">
        <v>113.705882352941</v>
      </c>
      <c r="S6">
        <v>33.235294117647001</v>
      </c>
      <c r="T6">
        <v>20.235294117647001</v>
      </c>
      <c r="U6">
        <v>60.058823529411697</v>
      </c>
      <c r="V6">
        <v>76.352941176470594</v>
      </c>
      <c r="W6">
        <v>463.588235294117</v>
      </c>
      <c r="AA6" t="s">
        <v>30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BA6" t="s">
        <v>30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</row>
    <row r="7" spans="1:75" x14ac:dyDescent="0.35">
      <c r="A7" t="s">
        <v>31</v>
      </c>
      <c r="B7">
        <v>111.12</v>
      </c>
      <c r="C7">
        <v>247</v>
      </c>
      <c r="D7">
        <v>0.42143999999999998</v>
      </c>
      <c r="E7">
        <v>28.8</v>
      </c>
      <c r="F7">
        <v>85.64</v>
      </c>
      <c r="G7">
        <v>0.27104166666666601</v>
      </c>
      <c r="H7">
        <v>82.32</v>
      </c>
      <c r="I7">
        <v>161.36000000000001</v>
      </c>
      <c r="J7">
        <v>0.48247999999999902</v>
      </c>
      <c r="K7">
        <v>0.47339999999999999</v>
      </c>
      <c r="L7">
        <v>48</v>
      </c>
      <c r="M7">
        <v>64.56</v>
      </c>
      <c r="N7">
        <v>0.69087999999999905</v>
      </c>
      <c r="O7">
        <v>30.04</v>
      </c>
      <c r="P7">
        <v>93.08</v>
      </c>
      <c r="Q7">
        <v>123.12</v>
      </c>
      <c r="R7">
        <v>68.64</v>
      </c>
      <c r="S7">
        <v>22.36</v>
      </c>
      <c r="T7">
        <v>13</v>
      </c>
      <c r="U7">
        <v>41.56</v>
      </c>
      <c r="V7">
        <v>52.32</v>
      </c>
      <c r="W7">
        <v>299.04000000000002</v>
      </c>
      <c r="AA7" t="s">
        <v>31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BA7" t="s">
        <v>31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</row>
    <row r="8" spans="1:75" x14ac:dyDescent="0.35">
      <c r="A8" t="s">
        <v>32</v>
      </c>
      <c r="B8">
        <v>155.68421052631501</v>
      </c>
      <c r="C8">
        <v>330.89473684210498</v>
      </c>
      <c r="D8">
        <v>0.442</v>
      </c>
      <c r="E8">
        <v>52.315789473684198</v>
      </c>
      <c r="F8">
        <v>144.42105263157799</v>
      </c>
      <c r="G8">
        <v>0.27331578947368401</v>
      </c>
      <c r="H8">
        <v>103.36842105263101</v>
      </c>
      <c r="I8">
        <v>186.47368421052599</v>
      </c>
      <c r="J8">
        <v>0.51947368421052598</v>
      </c>
      <c r="K8">
        <v>0.50468421052631496</v>
      </c>
      <c r="L8">
        <v>62.421052631578902</v>
      </c>
      <c r="M8">
        <v>80.210526315789394</v>
      </c>
      <c r="N8">
        <v>0.74063157894736797</v>
      </c>
      <c r="O8">
        <v>34.578947368420998</v>
      </c>
      <c r="P8">
        <v>129.63157894736801</v>
      </c>
      <c r="Q8">
        <v>164.210526315789</v>
      </c>
      <c r="R8">
        <v>86.684210526315795</v>
      </c>
      <c r="S8">
        <v>23.684210526315699</v>
      </c>
      <c r="T8">
        <v>16.368421052631501</v>
      </c>
      <c r="U8">
        <v>43.315789473684198</v>
      </c>
      <c r="V8">
        <v>73.473684210526301</v>
      </c>
      <c r="W8">
        <v>426.105263157894</v>
      </c>
      <c r="AA8" t="s">
        <v>32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BA8" t="s">
        <v>32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</row>
    <row r="9" spans="1:75" x14ac:dyDescent="0.35">
      <c r="A9" t="s">
        <v>33</v>
      </c>
      <c r="B9">
        <v>141.54545454545399</v>
      </c>
      <c r="C9">
        <v>291.90909090909003</v>
      </c>
      <c r="D9">
        <v>0.43280952380952298</v>
      </c>
      <c r="E9">
        <v>42.136363636363598</v>
      </c>
      <c r="F9">
        <v>111.90909090909</v>
      </c>
      <c r="G9">
        <v>0.30985000000000001</v>
      </c>
      <c r="H9">
        <v>99.409090909090907</v>
      </c>
      <c r="I9">
        <v>180</v>
      </c>
      <c r="J9">
        <v>0.50066666666666604</v>
      </c>
      <c r="K9">
        <v>0.49809523809523798</v>
      </c>
      <c r="L9">
        <v>51.318181818181799</v>
      </c>
      <c r="M9">
        <v>63.909090909090899</v>
      </c>
      <c r="N9">
        <v>0.75765000000000005</v>
      </c>
      <c r="O9">
        <v>34.454545454545404</v>
      </c>
      <c r="P9">
        <v>111</v>
      </c>
      <c r="Q9">
        <v>145.45454545454501</v>
      </c>
      <c r="R9">
        <v>87.863636363636303</v>
      </c>
      <c r="S9">
        <v>26.4545454545454</v>
      </c>
      <c r="T9">
        <v>14.6818181818181</v>
      </c>
      <c r="U9">
        <v>41.954545454545404</v>
      </c>
      <c r="V9">
        <v>62.454545454545404</v>
      </c>
      <c r="W9">
        <v>376.54545454545399</v>
      </c>
      <c r="AA9" t="s">
        <v>33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BA9" t="s">
        <v>33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</row>
    <row r="10" spans="1:75" x14ac:dyDescent="0.35">
      <c r="A10" t="s">
        <v>34</v>
      </c>
      <c r="B10">
        <v>132.52380952380901</v>
      </c>
      <c r="C10">
        <v>293.42857142857099</v>
      </c>
      <c r="D10">
        <v>0.46290476190476099</v>
      </c>
      <c r="E10">
        <v>39.619047619047599</v>
      </c>
      <c r="F10">
        <v>112.85714285714199</v>
      </c>
      <c r="G10">
        <v>0.33428571428571402</v>
      </c>
      <c r="H10">
        <v>92.904761904761898</v>
      </c>
      <c r="I10">
        <v>180.57142857142799</v>
      </c>
      <c r="J10">
        <v>0.50842857142857101</v>
      </c>
      <c r="K10">
        <v>0.52642857142857102</v>
      </c>
      <c r="L10">
        <v>60.857142857142797</v>
      </c>
      <c r="M10">
        <v>80.142857142857096</v>
      </c>
      <c r="N10">
        <v>0.73480952380952302</v>
      </c>
      <c r="O10">
        <v>33.047619047619001</v>
      </c>
      <c r="P10">
        <v>113.380952380952</v>
      </c>
      <c r="Q10">
        <v>146.42857142857099</v>
      </c>
      <c r="R10">
        <v>83</v>
      </c>
      <c r="S10">
        <v>25.285714285714199</v>
      </c>
      <c r="T10">
        <v>17.6666666666666</v>
      </c>
      <c r="U10">
        <v>48.571428571428498</v>
      </c>
      <c r="V10">
        <v>70.3333333333333</v>
      </c>
      <c r="W10">
        <v>365.52380952380901</v>
      </c>
      <c r="AA10" t="s">
        <v>34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BA10" t="s">
        <v>34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</row>
    <row r="11" spans="1:75" x14ac:dyDescent="0.35">
      <c r="A11" t="s">
        <v>35</v>
      </c>
      <c r="B11">
        <v>165.166666666666</v>
      </c>
      <c r="C11">
        <v>352.61111111111097</v>
      </c>
      <c r="D11">
        <v>0.44516666666666599</v>
      </c>
      <c r="E11">
        <v>58.2222222222222</v>
      </c>
      <c r="F11">
        <v>154.944444444444</v>
      </c>
      <c r="G11">
        <v>0.34741176470588198</v>
      </c>
      <c r="H11">
        <v>106.944444444444</v>
      </c>
      <c r="I11">
        <v>197.666666666666</v>
      </c>
      <c r="J11">
        <v>0.51933333333333298</v>
      </c>
      <c r="K11">
        <v>0.51522222222222203</v>
      </c>
      <c r="L11">
        <v>66.2777777777777</v>
      </c>
      <c r="M11">
        <v>84.4444444444444</v>
      </c>
      <c r="N11">
        <v>0.70738888888888896</v>
      </c>
      <c r="O11">
        <v>31.8888888888888</v>
      </c>
      <c r="P11">
        <v>140.222222222222</v>
      </c>
      <c r="Q11">
        <v>172.111111111111</v>
      </c>
      <c r="R11">
        <v>110.611111111111</v>
      </c>
      <c r="S11">
        <v>32.6111111111111</v>
      </c>
      <c r="T11">
        <v>19</v>
      </c>
      <c r="U11">
        <v>58.5555555555555</v>
      </c>
      <c r="V11">
        <v>84.7777777777777</v>
      </c>
      <c r="W11">
        <v>454.83333333333297</v>
      </c>
      <c r="AA11" t="s">
        <v>35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BA11" t="s">
        <v>35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</row>
    <row r="12" spans="1:75" x14ac:dyDescent="0.35">
      <c r="A12" t="s">
        <v>36</v>
      </c>
      <c r="B12">
        <v>94.2</v>
      </c>
      <c r="C12">
        <v>212.4</v>
      </c>
      <c r="D12">
        <v>0.42273333333333302</v>
      </c>
      <c r="E12">
        <v>33.066666666666599</v>
      </c>
      <c r="F12">
        <v>97.433333333333294</v>
      </c>
      <c r="G12">
        <v>0.29603333333333298</v>
      </c>
      <c r="H12">
        <v>61.133333333333297</v>
      </c>
      <c r="I12">
        <v>114.966666666666</v>
      </c>
      <c r="J12">
        <v>0.55006666666666604</v>
      </c>
      <c r="K12">
        <v>0.50026666666666597</v>
      </c>
      <c r="L12">
        <v>39.633333333333297</v>
      </c>
      <c r="M12">
        <v>53.533333333333303</v>
      </c>
      <c r="N12">
        <v>0.70541379310344798</v>
      </c>
      <c r="O12">
        <v>22.3666666666666</v>
      </c>
      <c r="P12">
        <v>79.866666666666603</v>
      </c>
      <c r="Q12">
        <v>102.23333333333299</v>
      </c>
      <c r="R12">
        <v>56.633333333333297</v>
      </c>
      <c r="S12">
        <v>18.2</v>
      </c>
      <c r="T12">
        <v>12.033333333333299</v>
      </c>
      <c r="U12">
        <v>34.1666666666666</v>
      </c>
      <c r="V12">
        <v>46.9</v>
      </c>
      <c r="W12">
        <v>261.10000000000002</v>
      </c>
      <c r="AA12" t="s">
        <v>36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BA12" t="s">
        <v>36</v>
      </c>
      <c r="BB12">
        <v>1</v>
      </c>
      <c r="BC12">
        <v>1</v>
      </c>
      <c r="BD12">
        <v>0</v>
      </c>
      <c r="BE12">
        <v>0</v>
      </c>
      <c r="BF12">
        <v>0</v>
      </c>
      <c r="BG12">
        <v>0</v>
      </c>
      <c r="BH12">
        <v>1</v>
      </c>
      <c r="BI12">
        <v>1</v>
      </c>
      <c r="BJ12">
        <v>0</v>
      </c>
      <c r="BK12">
        <v>0</v>
      </c>
      <c r="BL12">
        <v>1</v>
      </c>
      <c r="BM12">
        <v>0</v>
      </c>
      <c r="BN12">
        <v>0</v>
      </c>
      <c r="BO12">
        <v>0</v>
      </c>
      <c r="BP12">
        <v>1</v>
      </c>
      <c r="BQ12">
        <v>1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1</v>
      </c>
    </row>
    <row r="13" spans="1:75" x14ac:dyDescent="0.35">
      <c r="A13" t="s">
        <v>37</v>
      </c>
      <c r="B13">
        <v>155.75</v>
      </c>
      <c r="C13">
        <v>328.35</v>
      </c>
      <c r="D13">
        <v>0.44279999999999903</v>
      </c>
      <c r="E13">
        <v>44.45</v>
      </c>
      <c r="F13">
        <v>122.25</v>
      </c>
      <c r="G13">
        <v>0.28873684210526301</v>
      </c>
      <c r="H13">
        <v>111.3</v>
      </c>
      <c r="I13">
        <v>206.1</v>
      </c>
      <c r="J13">
        <v>0.49869999999999998</v>
      </c>
      <c r="K13">
        <v>0.49684999999999901</v>
      </c>
      <c r="L13">
        <v>59.15</v>
      </c>
      <c r="M13">
        <v>74.650000000000006</v>
      </c>
      <c r="N13">
        <v>0.82234999999999903</v>
      </c>
      <c r="O13">
        <v>32.4</v>
      </c>
      <c r="P13">
        <v>121.2</v>
      </c>
      <c r="Q13">
        <v>153.6</v>
      </c>
      <c r="R13">
        <v>98.65</v>
      </c>
      <c r="S13">
        <v>30.55</v>
      </c>
      <c r="T13">
        <v>23</v>
      </c>
      <c r="U13">
        <v>46.85</v>
      </c>
      <c r="V13">
        <v>72.650000000000006</v>
      </c>
      <c r="W13">
        <v>415.1</v>
      </c>
      <c r="AA13" t="s">
        <v>37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BA13" t="s">
        <v>37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</row>
    <row r="14" spans="1:75" x14ac:dyDescent="0.35">
      <c r="A14" t="s">
        <v>38</v>
      </c>
      <c r="B14">
        <v>150.44999999999999</v>
      </c>
      <c r="C14">
        <v>312.10000000000002</v>
      </c>
      <c r="D14">
        <v>0.4506</v>
      </c>
      <c r="E14">
        <v>51.35</v>
      </c>
      <c r="F14">
        <v>124.9</v>
      </c>
      <c r="G14">
        <v>0.37140000000000001</v>
      </c>
      <c r="H14">
        <v>99.1</v>
      </c>
      <c r="I14">
        <v>187.2</v>
      </c>
      <c r="J14">
        <v>0.47739999999999999</v>
      </c>
      <c r="K14">
        <v>0.53205000000000002</v>
      </c>
      <c r="L14">
        <v>58.2</v>
      </c>
      <c r="M14">
        <v>69.349999999999994</v>
      </c>
      <c r="N14">
        <v>0.83652631578947301</v>
      </c>
      <c r="O14">
        <v>33.9</v>
      </c>
      <c r="P14">
        <v>125.05</v>
      </c>
      <c r="Q14">
        <v>158.94999999999999</v>
      </c>
      <c r="R14">
        <v>87.8</v>
      </c>
      <c r="S14">
        <v>25.45</v>
      </c>
      <c r="T14">
        <v>14.75</v>
      </c>
      <c r="U14">
        <v>44.7</v>
      </c>
      <c r="V14">
        <v>69.150000000000006</v>
      </c>
      <c r="W14">
        <v>410.45</v>
      </c>
      <c r="AA14" t="s">
        <v>38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BA14" t="s">
        <v>38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</row>
    <row r="15" spans="1:75" x14ac:dyDescent="0.35">
      <c r="A15" t="s">
        <v>39</v>
      </c>
      <c r="B15">
        <v>153.947368421052</v>
      </c>
      <c r="C15">
        <v>326.15789473684202</v>
      </c>
      <c r="D15">
        <v>0.47321052631578903</v>
      </c>
      <c r="E15">
        <v>41.894736842105203</v>
      </c>
      <c r="F15">
        <v>118.31578947368401</v>
      </c>
      <c r="G15">
        <v>0.33106666666666601</v>
      </c>
      <c r="H15">
        <v>112.052631578947</v>
      </c>
      <c r="I15">
        <v>207.84210526315701</v>
      </c>
      <c r="J15">
        <v>0.50752631578947305</v>
      </c>
      <c r="K15">
        <v>0.53921052631578903</v>
      </c>
      <c r="L15">
        <v>65.315789473684205</v>
      </c>
      <c r="M15">
        <v>88.368421052631504</v>
      </c>
      <c r="N15">
        <v>0.71216666666666595</v>
      </c>
      <c r="O15">
        <v>36.578947368420998</v>
      </c>
      <c r="P15">
        <v>131.052631578947</v>
      </c>
      <c r="Q15">
        <v>167.63157894736801</v>
      </c>
      <c r="R15">
        <v>93.421052631578902</v>
      </c>
      <c r="S15">
        <v>29.578947368421002</v>
      </c>
      <c r="T15">
        <v>20.315789473684202</v>
      </c>
      <c r="U15">
        <v>55.789473684210499</v>
      </c>
      <c r="V15">
        <v>72.473684210526301</v>
      </c>
      <c r="W15">
        <v>415.105263157894</v>
      </c>
      <c r="AA15" t="s">
        <v>39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BA15" t="s">
        <v>39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</row>
    <row r="16" spans="1:75" x14ac:dyDescent="0.35">
      <c r="A16" t="s">
        <v>40</v>
      </c>
      <c r="B16">
        <v>171.388888888888</v>
      </c>
      <c r="C16">
        <v>367.11111111111097</v>
      </c>
      <c r="D16">
        <v>0.4425</v>
      </c>
      <c r="E16">
        <v>44.6111111111111</v>
      </c>
      <c r="F16">
        <v>125.444444444444</v>
      </c>
      <c r="G16">
        <v>0.31977777777777699</v>
      </c>
      <c r="H16">
        <v>126.777777777777</v>
      </c>
      <c r="I16">
        <v>241.666666666666</v>
      </c>
      <c r="J16">
        <v>0.52211111111111097</v>
      </c>
      <c r="K16">
        <v>0.50861111111111101</v>
      </c>
      <c r="L16">
        <v>65.7777777777777</v>
      </c>
      <c r="M16">
        <v>85.3333333333333</v>
      </c>
      <c r="N16">
        <v>0.76122222222222202</v>
      </c>
      <c r="O16">
        <v>44.6111111111111</v>
      </c>
      <c r="P16">
        <v>141.277777777777</v>
      </c>
      <c r="Q16">
        <v>185.888888888888</v>
      </c>
      <c r="R16">
        <v>107.666666666666</v>
      </c>
      <c r="S16">
        <v>36.3888888888888</v>
      </c>
      <c r="T16">
        <v>20.2222222222222</v>
      </c>
      <c r="U16">
        <v>50.8888888888888</v>
      </c>
      <c r="V16">
        <v>74.9444444444444</v>
      </c>
      <c r="W16">
        <v>453.166666666666</v>
      </c>
      <c r="AA16" t="s">
        <v>40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BA16" t="s">
        <v>40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</row>
    <row r="17" spans="1:75" x14ac:dyDescent="0.35">
      <c r="A17" t="s">
        <v>41</v>
      </c>
      <c r="B17">
        <v>134.47619047619</v>
      </c>
      <c r="C17">
        <v>287.09523809523802</v>
      </c>
      <c r="D17">
        <v>0.49190476190476101</v>
      </c>
      <c r="E17">
        <v>44.380952380952301</v>
      </c>
      <c r="F17">
        <v>124.095238095238</v>
      </c>
      <c r="G17">
        <v>0.35054999999999997</v>
      </c>
      <c r="H17">
        <v>90.095238095238102</v>
      </c>
      <c r="I17">
        <v>163</v>
      </c>
      <c r="J17">
        <v>0.56855</v>
      </c>
      <c r="K17">
        <v>0.57733333333333303</v>
      </c>
      <c r="L17">
        <v>57.190476190476097</v>
      </c>
      <c r="M17">
        <v>72.380952380952294</v>
      </c>
      <c r="N17">
        <v>0.69064999999999999</v>
      </c>
      <c r="O17">
        <v>27.571428571428498</v>
      </c>
      <c r="P17">
        <v>114.714285714285</v>
      </c>
      <c r="Q17">
        <v>142.28571428571399</v>
      </c>
      <c r="R17">
        <v>90.238095238095198</v>
      </c>
      <c r="S17">
        <v>27.095238095237999</v>
      </c>
      <c r="T17">
        <v>13.619047619047601</v>
      </c>
      <c r="U17">
        <v>45.523809523809497</v>
      </c>
      <c r="V17">
        <v>64.904761904761898</v>
      </c>
      <c r="W17">
        <v>370.52380952380901</v>
      </c>
      <c r="AA17" t="s">
        <v>41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BA17" t="s">
        <v>41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</row>
    <row r="18" spans="1:75" x14ac:dyDescent="0.35">
      <c r="A18" t="s">
        <v>42</v>
      </c>
      <c r="B18">
        <v>146.40909090909</v>
      </c>
      <c r="C18">
        <v>300.45454545454498</v>
      </c>
      <c r="D18">
        <v>0.43613636363636299</v>
      </c>
      <c r="E18">
        <v>47.181818181818102</v>
      </c>
      <c r="F18">
        <v>121.318181818181</v>
      </c>
      <c r="G18">
        <v>0.36581818181818099</v>
      </c>
      <c r="H18">
        <v>99.227272727272705</v>
      </c>
      <c r="I18">
        <v>179.136363636363</v>
      </c>
      <c r="J18">
        <v>0.47218181818181798</v>
      </c>
      <c r="K18">
        <v>0.52172727272727204</v>
      </c>
      <c r="L18">
        <v>53.136363636363598</v>
      </c>
      <c r="M18">
        <v>69.954545454545396</v>
      </c>
      <c r="N18">
        <v>0.754857142857142</v>
      </c>
      <c r="O18">
        <v>33.681818181818102</v>
      </c>
      <c r="P18">
        <v>123.818181818181</v>
      </c>
      <c r="Q18">
        <v>157.5</v>
      </c>
      <c r="R18">
        <v>83.363636363636303</v>
      </c>
      <c r="S18">
        <v>26.590909090909001</v>
      </c>
      <c r="T18">
        <v>15.1818181818181</v>
      </c>
      <c r="U18">
        <v>43.818181818181799</v>
      </c>
      <c r="V18">
        <v>56.545454545454497</v>
      </c>
      <c r="W18">
        <v>393.136363636363</v>
      </c>
      <c r="AA18" t="s">
        <v>42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BA18" t="s">
        <v>42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</row>
    <row r="19" spans="1:75" x14ac:dyDescent="0.35">
      <c r="A19" t="s">
        <v>43</v>
      </c>
      <c r="B19">
        <v>183.25</v>
      </c>
      <c r="C19">
        <v>409.125</v>
      </c>
      <c r="D19">
        <v>0.45</v>
      </c>
      <c r="E19">
        <v>59</v>
      </c>
      <c r="F19">
        <v>169.125</v>
      </c>
      <c r="G19">
        <v>0.32521428571428501</v>
      </c>
      <c r="H19">
        <v>124.25</v>
      </c>
      <c r="I19">
        <v>240</v>
      </c>
      <c r="J19">
        <v>0.51753333333333296</v>
      </c>
      <c r="K19">
        <v>0.51333333333333298</v>
      </c>
      <c r="L19">
        <v>79.0625</v>
      </c>
      <c r="M19">
        <v>103.875</v>
      </c>
      <c r="N19">
        <v>0.73880000000000001</v>
      </c>
      <c r="O19">
        <v>47.3125</v>
      </c>
      <c r="P19">
        <v>148.5</v>
      </c>
      <c r="Q19">
        <v>195.8125</v>
      </c>
      <c r="R19">
        <v>115.375</v>
      </c>
      <c r="S19">
        <v>39.5</v>
      </c>
      <c r="T19">
        <v>24.875</v>
      </c>
      <c r="U19">
        <v>61.4375</v>
      </c>
      <c r="V19">
        <v>94.1875</v>
      </c>
      <c r="W19">
        <v>504.5625</v>
      </c>
      <c r="AA19" t="s">
        <v>43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BA19" t="s">
        <v>43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</row>
    <row r="20" spans="1:75" x14ac:dyDescent="0.35">
      <c r="A20" t="s">
        <v>44</v>
      </c>
      <c r="B20">
        <v>145.71428571428501</v>
      </c>
      <c r="C20">
        <v>305.33333333333297</v>
      </c>
      <c r="D20">
        <v>0.40319047619047599</v>
      </c>
      <c r="E20">
        <v>36.285714285714199</v>
      </c>
      <c r="F20">
        <v>104.28571428571399</v>
      </c>
      <c r="G20">
        <v>0.27528571428571402</v>
      </c>
      <c r="H20">
        <v>109.428571428571</v>
      </c>
      <c r="I20">
        <v>201.04761904761901</v>
      </c>
      <c r="J20">
        <v>0.50054999999999905</v>
      </c>
      <c r="K20">
        <v>0.46514285714285702</v>
      </c>
      <c r="L20">
        <v>65.190476190476105</v>
      </c>
      <c r="M20">
        <v>89.428571428571402</v>
      </c>
      <c r="N20">
        <v>0.70331578947368401</v>
      </c>
      <c r="O20">
        <v>40.238095238095198</v>
      </c>
      <c r="P20">
        <v>122.28571428571399</v>
      </c>
      <c r="Q20">
        <v>162.52380952380901</v>
      </c>
      <c r="R20">
        <v>89.142857142857096</v>
      </c>
      <c r="S20">
        <v>25.952380952380899</v>
      </c>
      <c r="T20">
        <v>15</v>
      </c>
      <c r="U20">
        <v>47.761904761904702</v>
      </c>
      <c r="V20">
        <v>61.6666666666666</v>
      </c>
      <c r="W20">
        <v>392.90476190476102</v>
      </c>
      <c r="AA20" t="s">
        <v>44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BA20" t="s">
        <v>44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</row>
    <row r="21" spans="1:75" x14ac:dyDescent="0.35">
      <c r="A21" t="s">
        <v>45</v>
      </c>
      <c r="B21">
        <v>149.42105263157799</v>
      </c>
      <c r="C21">
        <v>327.63157894736798</v>
      </c>
      <c r="D21">
        <v>0.40415789473684199</v>
      </c>
      <c r="E21">
        <v>44.578947368420998</v>
      </c>
      <c r="F21">
        <v>113.84210526315699</v>
      </c>
      <c r="G21">
        <v>0.27906249999999999</v>
      </c>
      <c r="H21">
        <v>104.84210526315699</v>
      </c>
      <c r="I21">
        <v>213.78947368421001</v>
      </c>
      <c r="J21">
        <v>0.47199999999999998</v>
      </c>
      <c r="K21">
        <v>0.45547368421052598</v>
      </c>
      <c r="L21">
        <v>62.157894736842103</v>
      </c>
      <c r="M21">
        <v>79.263157894736807</v>
      </c>
      <c r="N21">
        <v>0.749</v>
      </c>
      <c r="O21">
        <v>36.631578947368403</v>
      </c>
      <c r="P21">
        <v>134.42105263157799</v>
      </c>
      <c r="Q21">
        <v>171.052631578947</v>
      </c>
      <c r="R21">
        <v>81.105263157894697</v>
      </c>
      <c r="S21">
        <v>26.684210526315699</v>
      </c>
      <c r="T21">
        <v>19.210526315789402</v>
      </c>
      <c r="U21">
        <v>46.105263157894697</v>
      </c>
      <c r="V21">
        <v>77.5263157894736</v>
      </c>
      <c r="W21">
        <v>405.57894736842098</v>
      </c>
      <c r="AA21" t="s">
        <v>45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BA21" t="s">
        <v>45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1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</row>
    <row r="22" spans="1:75" x14ac:dyDescent="0.35">
      <c r="A22" t="s">
        <v>46</v>
      </c>
      <c r="B22">
        <v>127.04545454545401</v>
      </c>
      <c r="C22">
        <v>288.09090909090901</v>
      </c>
      <c r="D22">
        <v>0.44390909090908998</v>
      </c>
      <c r="E22">
        <v>38.954545454545404</v>
      </c>
      <c r="F22">
        <v>114.954545454545</v>
      </c>
      <c r="G22">
        <v>0.28838095238095202</v>
      </c>
      <c r="H22">
        <v>88.090909090909093</v>
      </c>
      <c r="I22">
        <v>173.136363636363</v>
      </c>
      <c r="J22">
        <v>0.52572727272727204</v>
      </c>
      <c r="K22">
        <v>0.50940909090909003</v>
      </c>
      <c r="L22">
        <v>50.590909090909001</v>
      </c>
      <c r="M22">
        <v>69.818181818181799</v>
      </c>
      <c r="N22">
        <v>0.74572727272727202</v>
      </c>
      <c r="O22">
        <v>32.5</v>
      </c>
      <c r="P22">
        <v>116.72727272727199</v>
      </c>
      <c r="Q22">
        <v>149.22727272727201</v>
      </c>
      <c r="R22">
        <v>72.181818181818102</v>
      </c>
      <c r="S22">
        <v>22.909090909090899</v>
      </c>
      <c r="T22">
        <v>14.363636363636299</v>
      </c>
      <c r="U22">
        <v>50.363636363636303</v>
      </c>
      <c r="V22">
        <v>59.318181818181799</v>
      </c>
      <c r="W22">
        <v>343.636363636363</v>
      </c>
      <c r="AA22" t="s">
        <v>46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BA22" t="s">
        <v>46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</row>
    <row r="23" spans="1:75" x14ac:dyDescent="0.35">
      <c r="A23" t="s">
        <v>47</v>
      </c>
      <c r="B23">
        <v>98.357142857142804</v>
      </c>
      <c r="C23">
        <v>229.392857142857</v>
      </c>
      <c r="D23">
        <v>0.41832142857142801</v>
      </c>
      <c r="E23">
        <v>28</v>
      </c>
      <c r="F23">
        <v>81.714285714285694</v>
      </c>
      <c r="G23">
        <v>0.32551851851851799</v>
      </c>
      <c r="H23">
        <v>70.357142857142804</v>
      </c>
      <c r="I23">
        <v>147.67857142857099</v>
      </c>
      <c r="J23">
        <v>0.468464285714285</v>
      </c>
      <c r="K23">
        <v>0.47871428571428498</v>
      </c>
      <c r="L23">
        <v>42.714285714285701</v>
      </c>
      <c r="M23">
        <v>55.107142857142797</v>
      </c>
      <c r="N23">
        <v>0.78211111111111098</v>
      </c>
      <c r="O23">
        <v>26.678571428571399</v>
      </c>
      <c r="P23">
        <v>90.178571428571402</v>
      </c>
      <c r="Q23">
        <v>116.85714285714199</v>
      </c>
      <c r="R23">
        <v>56.107142857142797</v>
      </c>
      <c r="S23">
        <v>17.714285714285701</v>
      </c>
      <c r="T23">
        <v>11.357142857142801</v>
      </c>
      <c r="U23">
        <v>31.5</v>
      </c>
      <c r="V23">
        <v>44.178571428571402</v>
      </c>
      <c r="W23">
        <v>267.42857142857099</v>
      </c>
      <c r="AA23" t="s">
        <v>47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BA23" t="s">
        <v>47</v>
      </c>
      <c r="BB23">
        <v>1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1</v>
      </c>
      <c r="BS23">
        <v>0</v>
      </c>
      <c r="BT23">
        <v>0</v>
      </c>
      <c r="BU23">
        <v>1</v>
      </c>
      <c r="BV23">
        <v>1</v>
      </c>
      <c r="BW23">
        <v>1</v>
      </c>
    </row>
    <row r="24" spans="1:75" x14ac:dyDescent="0.35">
      <c r="A24" t="s">
        <v>48</v>
      </c>
      <c r="B24">
        <v>129.608695652173</v>
      </c>
      <c r="C24">
        <v>272.04347826086899</v>
      </c>
      <c r="D24">
        <v>0.401826086956521</v>
      </c>
      <c r="E24">
        <v>35.260869565217298</v>
      </c>
      <c r="F24">
        <v>94.304347826086897</v>
      </c>
      <c r="G24">
        <v>0.27200000000000002</v>
      </c>
      <c r="H24">
        <v>94.347826086956502</v>
      </c>
      <c r="I24">
        <v>177.739130434782</v>
      </c>
      <c r="J24">
        <v>0.44273913043478202</v>
      </c>
      <c r="K24">
        <v>0.458478260869565</v>
      </c>
      <c r="L24">
        <v>61.260869565217298</v>
      </c>
      <c r="M24">
        <v>79.826086956521706</v>
      </c>
      <c r="N24">
        <v>0.68754999999999999</v>
      </c>
      <c r="O24">
        <v>31.391304347826001</v>
      </c>
      <c r="P24">
        <v>109.652173913043</v>
      </c>
      <c r="Q24">
        <v>141.04347826086899</v>
      </c>
      <c r="R24">
        <v>74.173913043478194</v>
      </c>
      <c r="S24">
        <v>28.478260869565201</v>
      </c>
      <c r="T24">
        <v>19.434782608695599</v>
      </c>
      <c r="U24">
        <v>43</v>
      </c>
      <c r="V24">
        <v>63.304347826086897</v>
      </c>
      <c r="W24">
        <v>355.739130434782</v>
      </c>
      <c r="AA24" t="s">
        <v>48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BA24" t="s">
        <v>48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1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</row>
    <row r="25" spans="1:75" x14ac:dyDescent="0.35">
      <c r="A25" t="s">
        <v>49</v>
      </c>
      <c r="B25">
        <v>183.41176470588201</v>
      </c>
      <c r="C25">
        <v>373.941176470588</v>
      </c>
      <c r="D25">
        <v>0.46399999999999902</v>
      </c>
      <c r="E25">
        <v>55.294117647058798</v>
      </c>
      <c r="F25">
        <v>146.470588235294</v>
      </c>
      <c r="G25">
        <v>0.32970588235294102</v>
      </c>
      <c r="H25">
        <v>128.117647058823</v>
      </c>
      <c r="I25">
        <v>227.470588235294</v>
      </c>
      <c r="J25">
        <v>0.53211764705882303</v>
      </c>
      <c r="K25">
        <v>0.53935294117647004</v>
      </c>
      <c r="L25">
        <v>66.117647058823493</v>
      </c>
      <c r="M25">
        <v>79.235294117647001</v>
      </c>
      <c r="N25">
        <v>0.76917647058823502</v>
      </c>
      <c r="O25">
        <v>37.058823529411697</v>
      </c>
      <c r="P25">
        <v>144.82352941176401</v>
      </c>
      <c r="Q25">
        <v>181.88235294117601</v>
      </c>
      <c r="R25">
        <v>114.058823529411</v>
      </c>
      <c r="S25">
        <v>30.411764705882302</v>
      </c>
      <c r="T25">
        <v>18.352941176470502</v>
      </c>
      <c r="U25">
        <v>50.823529411764703</v>
      </c>
      <c r="V25">
        <v>80.823529411764696</v>
      </c>
      <c r="W25">
        <v>488.23529411764702</v>
      </c>
      <c r="AA25" t="s">
        <v>49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BA25" t="s">
        <v>49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</row>
    <row r="26" spans="1:75" x14ac:dyDescent="0.35">
      <c r="A26" t="s">
        <v>50</v>
      </c>
      <c r="B26">
        <v>174.88235294117601</v>
      </c>
      <c r="C26">
        <v>385.76470588235202</v>
      </c>
      <c r="D26">
        <v>0.441235294117647</v>
      </c>
      <c r="E26">
        <v>66.588235294117595</v>
      </c>
      <c r="F26">
        <v>172.88235294117601</v>
      </c>
      <c r="G26">
        <v>0.32393749999999999</v>
      </c>
      <c r="H26">
        <v>108.294117647058</v>
      </c>
      <c r="I26">
        <v>212.88235294117601</v>
      </c>
      <c r="J26">
        <v>0.48752941176470499</v>
      </c>
      <c r="K26">
        <v>0.50805882352941101</v>
      </c>
      <c r="L26">
        <v>75.411764705882305</v>
      </c>
      <c r="M26">
        <v>91.647058823529406</v>
      </c>
      <c r="N26">
        <v>0.77349999999999997</v>
      </c>
      <c r="O26">
        <v>45.058823529411697</v>
      </c>
      <c r="P26">
        <v>143.588235294117</v>
      </c>
      <c r="Q26">
        <v>188.64705882352899</v>
      </c>
      <c r="R26">
        <v>90.058823529411697</v>
      </c>
      <c r="S26">
        <v>29.176470588235201</v>
      </c>
      <c r="T26">
        <v>21.352941176470502</v>
      </c>
      <c r="U26">
        <v>45.588235294117602</v>
      </c>
      <c r="V26">
        <v>80.117647058823493</v>
      </c>
      <c r="W26">
        <v>491.76470588235202</v>
      </c>
      <c r="AA26" t="s">
        <v>50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BA26" t="s">
        <v>50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</row>
    <row r="27" spans="1:75" x14ac:dyDescent="0.35">
      <c r="A27" t="s">
        <v>51</v>
      </c>
      <c r="B27">
        <v>127.791666666666</v>
      </c>
      <c r="C27">
        <v>265.916666666666</v>
      </c>
      <c r="D27">
        <v>0.44954166666666601</v>
      </c>
      <c r="E27">
        <v>36.4166666666666</v>
      </c>
      <c r="F27">
        <v>100</v>
      </c>
      <c r="G27">
        <v>0.29131818181818098</v>
      </c>
      <c r="H27">
        <v>91.375</v>
      </c>
      <c r="I27">
        <v>165.916666666666</v>
      </c>
      <c r="J27">
        <v>0.51041666666666596</v>
      </c>
      <c r="K27">
        <v>0.50183333333333302</v>
      </c>
      <c r="L27">
        <v>49.2083333333333</v>
      </c>
      <c r="M27">
        <v>66.0416666666666</v>
      </c>
      <c r="N27">
        <v>0.76377272727272705</v>
      </c>
      <c r="O27">
        <v>28.0833333333333</v>
      </c>
      <c r="P27">
        <v>96.125</v>
      </c>
      <c r="Q27">
        <v>124.208333333333</v>
      </c>
      <c r="R27">
        <v>76.5</v>
      </c>
      <c r="S27">
        <v>22.625</v>
      </c>
      <c r="T27">
        <v>14.9166666666666</v>
      </c>
      <c r="U27">
        <v>38.5</v>
      </c>
      <c r="V27">
        <v>58.3333333333333</v>
      </c>
      <c r="W27">
        <v>341.20833333333297</v>
      </c>
      <c r="AA27" t="s">
        <v>51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BA27" t="s">
        <v>51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</row>
    <row r="28" spans="1:75" x14ac:dyDescent="0.35">
      <c r="A28" t="s">
        <v>52</v>
      </c>
      <c r="B28">
        <v>167.444444444444</v>
      </c>
      <c r="C28">
        <v>362.11111111111097</v>
      </c>
      <c r="D28">
        <v>0.47077777777777702</v>
      </c>
      <c r="E28">
        <v>39.7777777777777</v>
      </c>
      <c r="F28">
        <v>113.666666666666</v>
      </c>
      <c r="G28">
        <v>0.3798125</v>
      </c>
      <c r="H28">
        <v>127.666666666666</v>
      </c>
      <c r="I28">
        <v>248.444444444444</v>
      </c>
      <c r="J28">
        <v>0.52188888888888796</v>
      </c>
      <c r="K28">
        <v>0.52027777777777695</v>
      </c>
      <c r="L28">
        <v>69.6666666666666</v>
      </c>
      <c r="M28">
        <v>88</v>
      </c>
      <c r="N28">
        <v>0.77158823529411702</v>
      </c>
      <c r="O28">
        <v>37.1666666666666</v>
      </c>
      <c r="P28">
        <v>138.277777777777</v>
      </c>
      <c r="Q28">
        <v>175.444444444444</v>
      </c>
      <c r="R28">
        <v>97.7222222222222</v>
      </c>
      <c r="S28">
        <v>28.0555555555555</v>
      </c>
      <c r="T28">
        <v>20.3333333333333</v>
      </c>
      <c r="U28">
        <v>43.9444444444444</v>
      </c>
      <c r="V28">
        <v>71.8333333333333</v>
      </c>
      <c r="W28">
        <v>444.33333333333297</v>
      </c>
      <c r="AA28" t="s">
        <v>52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BA28" t="s">
        <v>52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</row>
    <row r="29" spans="1:75" x14ac:dyDescent="0.35">
      <c r="A29" t="s">
        <v>53</v>
      </c>
      <c r="B29">
        <v>129.95454545454501</v>
      </c>
      <c r="C29">
        <v>290.136363636363</v>
      </c>
      <c r="D29">
        <v>0.47149999999999997</v>
      </c>
      <c r="E29">
        <v>47.318181818181799</v>
      </c>
      <c r="F29">
        <v>128.68181818181799</v>
      </c>
      <c r="G29">
        <v>0.3624</v>
      </c>
      <c r="H29">
        <v>82.636363636363598</v>
      </c>
      <c r="I29">
        <v>161.45454545454501</v>
      </c>
      <c r="J29">
        <v>0.52177272727272705</v>
      </c>
      <c r="K29">
        <v>0.55490909090909002</v>
      </c>
      <c r="L29">
        <v>56.909090909090899</v>
      </c>
      <c r="M29">
        <v>69.818181818181799</v>
      </c>
      <c r="N29">
        <v>0.78731818181818103</v>
      </c>
      <c r="O29">
        <v>30.909090909090899</v>
      </c>
      <c r="P29">
        <v>105.181818181818</v>
      </c>
      <c r="Q29">
        <v>136.09090909090901</v>
      </c>
      <c r="R29">
        <v>78.863636363636303</v>
      </c>
      <c r="S29">
        <v>28.090909090909001</v>
      </c>
      <c r="T29">
        <v>17.681818181818102</v>
      </c>
      <c r="U29">
        <v>40.818181818181799</v>
      </c>
      <c r="V29">
        <v>69.363636363636303</v>
      </c>
      <c r="W29">
        <v>364.136363636363</v>
      </c>
      <c r="AA29" t="s">
        <v>53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BA29" t="s">
        <v>53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</row>
    <row r="30" spans="1:75" x14ac:dyDescent="0.35">
      <c r="A30" t="s">
        <v>54</v>
      </c>
      <c r="B30">
        <v>165.055555555555</v>
      </c>
      <c r="C30">
        <v>352.444444444444</v>
      </c>
      <c r="D30">
        <v>0.44711111111111101</v>
      </c>
      <c r="E30">
        <v>66.9444444444444</v>
      </c>
      <c r="F30">
        <v>172.111111111111</v>
      </c>
      <c r="G30">
        <v>0.30052941176470499</v>
      </c>
      <c r="H30">
        <v>98.1111111111111</v>
      </c>
      <c r="I30">
        <v>180.333333333333</v>
      </c>
      <c r="J30">
        <v>0.50149999999999995</v>
      </c>
      <c r="K30">
        <v>0.534944444444444</v>
      </c>
      <c r="L30">
        <v>68.6111111111111</v>
      </c>
      <c r="M30">
        <v>85.8888888888888</v>
      </c>
      <c r="N30">
        <v>0.83244444444444399</v>
      </c>
      <c r="O30">
        <v>42.5</v>
      </c>
      <c r="P30">
        <v>150.5</v>
      </c>
      <c r="Q30">
        <v>193</v>
      </c>
      <c r="R30">
        <v>94.6111111111111</v>
      </c>
      <c r="S30">
        <v>26.3333333333333</v>
      </c>
      <c r="T30">
        <v>20.6111111111111</v>
      </c>
      <c r="U30">
        <v>54.0555555555555</v>
      </c>
      <c r="V30">
        <v>74.1666666666666</v>
      </c>
      <c r="W30">
        <v>465.666666666666</v>
      </c>
      <c r="AA30" t="s">
        <v>54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BA30" t="s">
        <v>54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</row>
    <row r="31" spans="1:75" x14ac:dyDescent="0.35">
      <c r="A31" t="s">
        <v>55</v>
      </c>
      <c r="B31">
        <v>148</v>
      </c>
      <c r="C31">
        <v>311.76190476190402</v>
      </c>
      <c r="D31">
        <v>0.44442857142857101</v>
      </c>
      <c r="E31">
        <v>34.904761904761898</v>
      </c>
      <c r="F31">
        <v>99.428571428571402</v>
      </c>
      <c r="G31">
        <v>0.30485000000000001</v>
      </c>
      <c r="H31">
        <v>113.095238095238</v>
      </c>
      <c r="I31">
        <v>212.333333333333</v>
      </c>
      <c r="J31">
        <v>0.52105000000000001</v>
      </c>
      <c r="K31">
        <v>0.50147619047618996</v>
      </c>
      <c r="L31">
        <v>69</v>
      </c>
      <c r="M31">
        <v>89.714285714285694</v>
      </c>
      <c r="N31">
        <v>0.74847368421052596</v>
      </c>
      <c r="O31">
        <v>33.190476190476097</v>
      </c>
      <c r="P31">
        <v>121.76190476190401</v>
      </c>
      <c r="Q31">
        <v>154.95238095238</v>
      </c>
      <c r="R31">
        <v>87.380952380952294</v>
      </c>
      <c r="S31">
        <v>25.1428571428571</v>
      </c>
      <c r="T31">
        <v>14.1428571428571</v>
      </c>
      <c r="U31">
        <v>47.761904761904702</v>
      </c>
      <c r="V31">
        <v>74.047619047618994</v>
      </c>
      <c r="W31">
        <v>399.90476190476102</v>
      </c>
      <c r="AA31" t="s">
        <v>55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BA31" t="s">
        <v>55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</row>
    <row r="33" spans="1:75" x14ac:dyDescent="0.35">
      <c r="A33" t="s">
        <v>56</v>
      </c>
      <c r="B33">
        <f>AVERAGE(B2:B31)</f>
        <v>145.66724648287644</v>
      </c>
      <c r="C33">
        <f t="shared" ref="C33:W33" si="0">AVERAGE(C2:C31)</f>
        <v>312.39619078724229</v>
      </c>
      <c r="D33">
        <f t="shared" si="0"/>
        <v>0.44432666033968732</v>
      </c>
      <c r="E33">
        <f t="shared" si="0"/>
        <v>45.016803451380738</v>
      </c>
      <c r="F33">
        <f t="shared" si="0"/>
        <v>122.58028600388496</v>
      </c>
      <c r="G33">
        <f t="shared" si="0"/>
        <v>0.31430064767223526</v>
      </c>
      <c r="H33">
        <f t="shared" si="0"/>
        <v>100.65044303149587</v>
      </c>
      <c r="I33">
        <f t="shared" si="0"/>
        <v>189.81590478335698</v>
      </c>
      <c r="J33">
        <f t="shared" si="0"/>
        <v>0.50719157279089311</v>
      </c>
      <c r="K33">
        <f t="shared" si="0"/>
        <v>0.51016591543745171</v>
      </c>
      <c r="L33">
        <f t="shared" si="0"/>
        <v>59.937071093525326</v>
      </c>
      <c r="M33">
        <f t="shared" si="0"/>
        <v>76.950196736383546</v>
      </c>
      <c r="N33">
        <f t="shared" si="0"/>
        <v>0.75214419810548072</v>
      </c>
      <c r="O33">
        <f t="shared" si="0"/>
        <v>34.750575451514429</v>
      </c>
      <c r="P33">
        <f t="shared" si="0"/>
        <v>121.76081309207646</v>
      </c>
      <c r="Q33">
        <f t="shared" si="0"/>
        <v>156.51138854359095</v>
      </c>
      <c r="R33">
        <f t="shared" si="0"/>
        <v>87.717437102372486</v>
      </c>
      <c r="S33">
        <f t="shared" si="0"/>
        <v>26.760487669428421</v>
      </c>
      <c r="T33">
        <f t="shared" si="0"/>
        <v>17.226682729205795</v>
      </c>
      <c r="U33">
        <f t="shared" si="0"/>
        <v>46.551960712709644</v>
      </c>
      <c r="V33">
        <f t="shared" si="0"/>
        <v>68.20719322899393</v>
      </c>
      <c r="W33">
        <f t="shared" si="0"/>
        <v>396.28836751065938</v>
      </c>
      <c r="AA33" t="s">
        <v>0</v>
      </c>
      <c r="AB33" t="s">
        <v>57</v>
      </c>
      <c r="AC33" t="s">
        <v>2</v>
      </c>
      <c r="AD33" t="s">
        <v>3</v>
      </c>
      <c r="AE33" t="s">
        <v>4</v>
      </c>
      <c r="AF33" t="s">
        <v>5</v>
      </c>
      <c r="AG33" t="s">
        <v>6</v>
      </c>
      <c r="AH33" t="s">
        <v>7</v>
      </c>
      <c r="AI33" t="s">
        <v>8</v>
      </c>
      <c r="AJ33" t="s">
        <v>9</v>
      </c>
      <c r="AK33" t="s">
        <v>10</v>
      </c>
      <c r="AL33" t="s">
        <v>11</v>
      </c>
      <c r="AM33" t="s">
        <v>12</v>
      </c>
      <c r="AN33" t="s">
        <v>13</v>
      </c>
      <c r="AO33" t="s">
        <v>14</v>
      </c>
      <c r="AP33" t="s">
        <v>15</v>
      </c>
      <c r="AQ33" t="s">
        <v>16</v>
      </c>
      <c r="AR33" t="s">
        <v>17</v>
      </c>
      <c r="AS33" t="s">
        <v>18</v>
      </c>
      <c r="AT33" t="s">
        <v>19</v>
      </c>
      <c r="AU33" t="s">
        <v>20</v>
      </c>
      <c r="AV33" t="s">
        <v>21</v>
      </c>
      <c r="AW33" t="s">
        <v>22</v>
      </c>
      <c r="BA33" t="s">
        <v>0</v>
      </c>
      <c r="BB33" t="s">
        <v>24</v>
      </c>
      <c r="BC33" t="s">
        <v>2</v>
      </c>
      <c r="BD33" t="s">
        <v>3</v>
      </c>
      <c r="BE33" t="s">
        <v>4</v>
      </c>
      <c r="BF33" t="s">
        <v>5</v>
      </c>
      <c r="BG33" t="s">
        <v>6</v>
      </c>
      <c r="BH33" t="s">
        <v>7</v>
      </c>
      <c r="BI33" t="s">
        <v>8</v>
      </c>
      <c r="BJ33" t="s">
        <v>9</v>
      </c>
      <c r="BK33" t="s">
        <v>10</v>
      </c>
      <c r="BL33" t="s">
        <v>11</v>
      </c>
      <c r="BM33" t="s">
        <v>12</v>
      </c>
      <c r="BN33" t="s">
        <v>13</v>
      </c>
      <c r="BO33" t="s">
        <v>14</v>
      </c>
      <c r="BP33" t="s">
        <v>15</v>
      </c>
      <c r="BQ33" t="s">
        <v>16</v>
      </c>
      <c r="BR33" t="s">
        <v>17</v>
      </c>
      <c r="BS33" t="s">
        <v>18</v>
      </c>
      <c r="BT33" t="s">
        <v>19</v>
      </c>
      <c r="BU33" t="s">
        <v>20</v>
      </c>
      <c r="BV33" t="s">
        <v>21</v>
      </c>
      <c r="BW33" t="s">
        <v>22</v>
      </c>
    </row>
    <row r="34" spans="1:75" x14ac:dyDescent="0.35">
      <c r="A34" t="s">
        <v>58</v>
      </c>
      <c r="B34">
        <f>_xlfn.STDEV.P(B2:B31)</f>
        <v>22.6046421222654</v>
      </c>
      <c r="C34">
        <f t="shared" ref="C34:W34" si="1">_xlfn.STDEV.P(C2:C31)</f>
        <v>47.486089227624149</v>
      </c>
      <c r="D34">
        <f t="shared" si="1"/>
        <v>2.1457294821277572E-2</v>
      </c>
      <c r="E34">
        <f t="shared" si="1"/>
        <v>9.8996032066178365</v>
      </c>
      <c r="F34">
        <f t="shared" si="1"/>
        <v>24.292259935039695</v>
      </c>
      <c r="G34">
        <f t="shared" si="1"/>
        <v>3.0701499443975981E-2</v>
      </c>
      <c r="H34">
        <f t="shared" si="1"/>
        <v>16.115857818068374</v>
      </c>
      <c r="I34">
        <f t="shared" si="1"/>
        <v>30.501459806271477</v>
      </c>
      <c r="J34">
        <f t="shared" si="1"/>
        <v>2.7231344920962609E-2</v>
      </c>
      <c r="K34">
        <f t="shared" si="1"/>
        <v>2.7167968921622297E-2</v>
      </c>
      <c r="L34">
        <f t="shared" si="1"/>
        <v>10.027621233066116</v>
      </c>
      <c r="M34">
        <f t="shared" si="1"/>
        <v>12.518690913556442</v>
      </c>
      <c r="N34">
        <f t="shared" si="1"/>
        <v>3.9369524301993884E-2</v>
      </c>
      <c r="O34">
        <f t="shared" si="1"/>
        <v>6.1942140417537281</v>
      </c>
      <c r="P34">
        <f t="shared" si="1"/>
        <v>18.516204709500801</v>
      </c>
      <c r="Q34">
        <f t="shared" si="1"/>
        <v>24.043469084163149</v>
      </c>
      <c r="R34">
        <f t="shared" si="1"/>
        <v>15.065910657177959</v>
      </c>
      <c r="S34">
        <f t="shared" si="1"/>
        <v>4.8495944565669475</v>
      </c>
      <c r="T34">
        <f t="shared" si="1"/>
        <v>3.3413750760086516</v>
      </c>
      <c r="U34">
        <f t="shared" si="1"/>
        <v>6.9966562421495935</v>
      </c>
      <c r="V34">
        <f t="shared" si="1"/>
        <v>11.167807345419032</v>
      </c>
      <c r="W34">
        <f t="shared" si="1"/>
        <v>62.034365421702759</v>
      </c>
      <c r="AA34" t="s">
        <v>26</v>
      </c>
      <c r="AB34" cm="1">
        <f t="array" ref="AB34:AB63">IF(B2:B31&gt;B41, 1, 0)</f>
        <v>0</v>
      </c>
      <c r="AC34" cm="1">
        <f t="array" ref="AC34:AC63">IF(C2:C31&gt;C41, 1, 0)</f>
        <v>0</v>
      </c>
      <c r="AD34" cm="1">
        <f t="array" ref="AD34:AD63">IF(D2:D31&gt;D41, 1, 0)</f>
        <v>0</v>
      </c>
      <c r="AE34" cm="1">
        <f t="array" ref="AE34:AE63">IF(E2:E31&gt;E41, 1, 0)</f>
        <v>0</v>
      </c>
      <c r="AF34" cm="1">
        <f t="array" ref="AF34:AF63">IF(F2:F31&gt;F41, 1, 0)</f>
        <v>0</v>
      </c>
      <c r="AG34" cm="1">
        <f t="array" ref="AG34:AG63">IF(G2:G31&gt;G41, 1, 0)</f>
        <v>0</v>
      </c>
      <c r="AH34" cm="1">
        <f t="array" ref="AH34:AH63">IF(H2:H31&gt;H41, 1, 0)</f>
        <v>0</v>
      </c>
      <c r="AI34" cm="1">
        <f t="array" ref="AI34:AI63">IF(I2:I31&gt;I41, 1, 0)</f>
        <v>0</v>
      </c>
      <c r="AJ34" cm="1">
        <f t="array" ref="AJ34:AJ63">IF(J2:J31&gt;J41, 1, 0)</f>
        <v>0</v>
      </c>
      <c r="AK34" cm="1">
        <f t="array" ref="AK34:AK63">IF(K2:K31&gt;K41, 1, 0)</f>
        <v>0</v>
      </c>
      <c r="AL34" cm="1">
        <f t="array" ref="AL34:AL63">IF(L2:L31&gt;L41, 1, 0)</f>
        <v>0</v>
      </c>
      <c r="AM34" cm="1">
        <f t="array" ref="AM34:AM63">IF(M2:M31&gt;M41, 1, 0)</f>
        <v>0</v>
      </c>
      <c r="AN34" cm="1">
        <f t="array" ref="AN34:AN63">IF(N2:N31&gt;N41, 1, 0)</f>
        <v>0</v>
      </c>
      <c r="AO34" cm="1">
        <f t="array" ref="AO34:AO63">IF(O2:O31&gt;O41, 1, 0)</f>
        <v>0</v>
      </c>
      <c r="AP34" cm="1">
        <f t="array" ref="AP34:AP63">IF(P2:P31&gt;P41, 1, 0)</f>
        <v>0</v>
      </c>
      <c r="AQ34" cm="1">
        <f t="array" ref="AQ34:AQ63">IF(Q2:Q31&gt;Q41, 1, 0)</f>
        <v>0</v>
      </c>
      <c r="AR34" cm="1">
        <f t="array" ref="AR34:AR63">IF(R2:R31&gt;R41, 1, 0)</f>
        <v>0</v>
      </c>
      <c r="AS34" cm="1">
        <f t="array" ref="AS34:AS63">IF(S2:S31&gt;S41, 1, 0)</f>
        <v>0</v>
      </c>
      <c r="AT34" cm="1">
        <f t="array" ref="AT34:AT63">IF(T2:T31&gt;T41, 1, 0)</f>
        <v>0</v>
      </c>
      <c r="AU34" cm="1">
        <f t="array" ref="AU34:AU63">IF(U2:U31&gt;U41, 1, 0)</f>
        <v>0</v>
      </c>
      <c r="AV34" cm="1">
        <f t="array" ref="AV34:AV63">IF(V2:V31&gt;V41, 1, 0)</f>
        <v>0</v>
      </c>
      <c r="AW34" cm="1">
        <f t="array" ref="AW34:AW63">IF(W2:W31&gt;W41, 1, 0)</f>
        <v>0</v>
      </c>
      <c r="BA34" t="s">
        <v>26</v>
      </c>
      <c r="BB34" cm="1">
        <f t="array" ref="BB34:BB63">IF(B2:B31&gt;B44, 1, 0)</f>
        <v>0</v>
      </c>
      <c r="BC34" cm="1">
        <f t="array" ref="BC34:BC63">IF(C2:C31&gt;C44, 1, 0)</f>
        <v>0</v>
      </c>
      <c r="BD34" cm="1">
        <f t="array" ref="BD34:BD63">IF(D2:D31&gt;D44, 1, 0)</f>
        <v>0</v>
      </c>
      <c r="BE34" cm="1">
        <f t="array" ref="BE34:BE63">IF(E2:E31&gt;E44, 1, 0)</f>
        <v>0</v>
      </c>
      <c r="BF34" cm="1">
        <f t="array" ref="BF34:BF63">IF(F2:F31&gt;F44, 1, 0)</f>
        <v>0</v>
      </c>
      <c r="BG34" cm="1">
        <f t="array" ref="BG34:BG63">IF(G2:G31&gt;G44, 1, 0)</f>
        <v>0</v>
      </c>
      <c r="BH34" cm="1">
        <f t="array" ref="BH34:BH63">IF(H2:H31&gt;H44, 1, 0)</f>
        <v>0</v>
      </c>
      <c r="BI34" cm="1">
        <f t="array" ref="BI34:BI63">IF(I2:I31&gt;I44, 1, 0)</f>
        <v>0</v>
      </c>
      <c r="BJ34" cm="1">
        <f t="array" ref="BJ34:BJ63">IF(J2:J31&gt;J44, 1, 0)</f>
        <v>0</v>
      </c>
      <c r="BK34" cm="1">
        <f t="array" ref="BK34:BK63">IF(K2:K31&gt;K44, 1, 0)</f>
        <v>0</v>
      </c>
      <c r="BL34" cm="1">
        <f t="array" ref="BL34:BL63">IF(L2:L31&gt;L44, 1, 0)</f>
        <v>0</v>
      </c>
      <c r="BM34" cm="1">
        <f t="array" ref="BM34:BM63">IF(M2:M31&gt;M44, 1, 0)</f>
        <v>0</v>
      </c>
      <c r="BN34" cm="1">
        <f t="array" ref="BN34:BN63">IF(N2:N31&gt;N44, 1, 0)</f>
        <v>0</v>
      </c>
      <c r="BO34" cm="1">
        <f t="array" ref="BO34:BO63">IF(O2:O31&gt;O44, 1, 0)</f>
        <v>0</v>
      </c>
      <c r="BP34" cm="1">
        <f t="array" ref="BP34:BP63">IF(P2:P31&gt;P44, 1, 0)</f>
        <v>0</v>
      </c>
      <c r="BQ34" cm="1">
        <f t="array" ref="BQ34:BQ63">IF(Q2:Q31&gt;Q44, 1, 0)</f>
        <v>0</v>
      </c>
      <c r="BR34" cm="1">
        <f t="array" ref="BR34:BR63">IF(R2:R31&gt;R44, 1, 0)</f>
        <v>0</v>
      </c>
      <c r="BS34" cm="1">
        <f t="array" ref="BS34:BS63">IF(S2:S31&gt;S44, 1, 0)</f>
        <v>0</v>
      </c>
      <c r="BT34" cm="1">
        <f t="array" ref="BT34:BT63">IF(T2:T31&gt;T44, 1, 0)</f>
        <v>0</v>
      </c>
      <c r="BU34" cm="1">
        <f t="array" ref="BU34:BU63">IF(U2:U31&gt;U44, 1, 0)</f>
        <v>0</v>
      </c>
      <c r="BV34" cm="1">
        <f t="array" ref="BV34:BV63">IF(V2:V31&gt;V44, 1, 0)</f>
        <v>0</v>
      </c>
      <c r="BW34" cm="1">
        <f t="array" ref="BW34:BW63">IF(W2:W31&gt;W44, 1, 0)</f>
        <v>0</v>
      </c>
    </row>
    <row r="35" spans="1:75" x14ac:dyDescent="0.35">
      <c r="A35" t="s">
        <v>59</v>
      </c>
      <c r="B35">
        <f>_xlfn.QUARTILE.INC(B2:B31, 1)</f>
        <v>130.59686147186102</v>
      </c>
      <c r="C35">
        <f t="shared" ref="C35:W35" si="2">_xlfn.QUARTILE.INC(C2:C31, 1)</f>
        <v>288.56818181818176</v>
      </c>
      <c r="D35">
        <f t="shared" si="2"/>
        <v>0.43321825396825325</v>
      </c>
      <c r="E35">
        <f t="shared" si="2"/>
        <v>38.071969696969624</v>
      </c>
      <c r="F35">
        <f t="shared" si="2"/>
        <v>106.00974025974</v>
      </c>
      <c r="G35">
        <f t="shared" si="2"/>
        <v>0.2893821770334925</v>
      </c>
      <c r="H35">
        <f t="shared" si="2"/>
        <v>91.757440476190482</v>
      </c>
      <c r="I35">
        <f t="shared" si="2"/>
        <v>174.28705533596775</v>
      </c>
      <c r="J35">
        <f t="shared" si="2"/>
        <v>0.48707679738561999</v>
      </c>
      <c r="K35">
        <f t="shared" si="2"/>
        <v>0.49716130952380877</v>
      </c>
      <c r="L35">
        <f t="shared" si="2"/>
        <v>51.772727272727252</v>
      </c>
      <c r="M35">
        <f t="shared" si="2"/>
        <v>69.467045454545442</v>
      </c>
      <c r="N35">
        <f t="shared" si="2"/>
        <v>0.72245238095238051</v>
      </c>
      <c r="O35">
        <f t="shared" si="2"/>
        <v>31.418478260869499</v>
      </c>
      <c r="P35">
        <f t="shared" si="2"/>
        <v>111.595238095238</v>
      </c>
      <c r="Q35">
        <f t="shared" si="2"/>
        <v>143.07792207792176</v>
      </c>
      <c r="R35">
        <f t="shared" si="2"/>
        <v>79.254870129870085</v>
      </c>
      <c r="S35">
        <f t="shared" si="2"/>
        <v>24.048872180451049</v>
      </c>
      <c r="T35">
        <f t="shared" si="2"/>
        <v>14.443181818181749</v>
      </c>
      <c r="U35">
        <f t="shared" si="2"/>
        <v>43.078947368421048</v>
      </c>
      <c r="V35">
        <f t="shared" si="2"/>
        <v>61.727272727272677</v>
      </c>
      <c r="W35">
        <f t="shared" si="2"/>
        <v>362.70454545454476</v>
      </c>
      <c r="AA35" t="s">
        <v>27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BA35" t="s">
        <v>27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</row>
    <row r="36" spans="1:75" x14ac:dyDescent="0.35">
      <c r="A36" t="s">
        <v>60</v>
      </c>
      <c r="B36">
        <f>_xlfn.QUARTILE.INC(B2:B31, 2)</f>
        <v>147.20454545454498</v>
      </c>
      <c r="C36">
        <f t="shared" ref="C36:W36" si="3">_xlfn.QUARTILE.INC(C2:C31, 2)</f>
        <v>308.54761904761847</v>
      </c>
      <c r="D36">
        <f t="shared" si="3"/>
        <v>0.44416883116883049</v>
      </c>
      <c r="E36">
        <f t="shared" si="3"/>
        <v>44.415476190476156</v>
      </c>
      <c r="F36">
        <f t="shared" si="3"/>
        <v>119.8169856459325</v>
      </c>
      <c r="G36">
        <f t="shared" si="3"/>
        <v>0.31063333333333298</v>
      </c>
      <c r="H36">
        <f t="shared" si="3"/>
        <v>99.318181818181813</v>
      </c>
      <c r="I36">
        <f t="shared" si="3"/>
        <v>183.522556390977</v>
      </c>
      <c r="J36">
        <f t="shared" si="3"/>
        <v>0.50942261904761854</v>
      </c>
      <c r="K36">
        <f t="shared" si="3"/>
        <v>0.50901010101010047</v>
      </c>
      <c r="L36">
        <f t="shared" si="3"/>
        <v>61.059006211180048</v>
      </c>
      <c r="M36">
        <f t="shared" si="3"/>
        <v>79.249226006191904</v>
      </c>
      <c r="N36">
        <f t="shared" si="3"/>
        <v>0.75192857142857106</v>
      </c>
      <c r="O36">
        <f t="shared" si="3"/>
        <v>33.790909090909054</v>
      </c>
      <c r="P36">
        <f t="shared" si="3"/>
        <v>122.02380952380901</v>
      </c>
      <c r="Q36">
        <f t="shared" si="3"/>
        <v>156.22619047619</v>
      </c>
      <c r="R36">
        <f t="shared" si="3"/>
        <v>87.695454545454538</v>
      </c>
      <c r="S36">
        <f t="shared" si="3"/>
        <v>26.533549783549702</v>
      </c>
      <c r="T36">
        <f t="shared" si="3"/>
        <v>17.674242424242351</v>
      </c>
      <c r="U36">
        <f t="shared" si="3"/>
        <v>46.005012531328298</v>
      </c>
      <c r="V36">
        <f t="shared" si="3"/>
        <v>70.190476190476147</v>
      </c>
      <c r="W36">
        <f t="shared" si="3"/>
        <v>396.52056277056204</v>
      </c>
      <c r="AA36" t="s">
        <v>28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BA36" t="s">
        <v>28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</row>
    <row r="37" spans="1:75" x14ac:dyDescent="0.35">
      <c r="A37" t="s">
        <v>61</v>
      </c>
      <c r="B37">
        <f>_xlfn.QUARTILE.INC(B2:B31, 3)</f>
        <v>164.58333333333275</v>
      </c>
      <c r="C37">
        <f t="shared" ref="C37:W37" si="4">_xlfn.QUARTILE.INC(C2:C31, 3)</f>
        <v>351.569444444444</v>
      </c>
      <c r="D37">
        <f t="shared" si="4"/>
        <v>0.46104812834224551</v>
      </c>
      <c r="E37">
        <f t="shared" si="4"/>
        <v>50.943055555555553</v>
      </c>
      <c r="F37">
        <f t="shared" si="4"/>
        <v>132.25378787878751</v>
      </c>
      <c r="G37">
        <f t="shared" si="4"/>
        <v>0.33072647058823479</v>
      </c>
      <c r="H37">
        <f t="shared" si="4"/>
        <v>111.26911764705875</v>
      </c>
      <c r="I37">
        <f t="shared" si="4"/>
        <v>212.74509803921526</v>
      </c>
      <c r="J37">
        <f t="shared" si="4"/>
        <v>0.52205555555555527</v>
      </c>
      <c r="K37">
        <f t="shared" si="4"/>
        <v>0.52623319327731055</v>
      </c>
      <c r="L37">
        <f t="shared" si="4"/>
        <v>66.237745098039142</v>
      </c>
      <c r="M37">
        <f t="shared" si="4"/>
        <v>87.4722222222222</v>
      </c>
      <c r="N37">
        <f t="shared" si="4"/>
        <v>0.77302205882352926</v>
      </c>
      <c r="O37">
        <f t="shared" si="4"/>
        <v>37.139705882352871</v>
      </c>
      <c r="P37">
        <f t="shared" si="4"/>
        <v>139.73611111111074</v>
      </c>
      <c r="Q37">
        <f t="shared" si="4"/>
        <v>174.61111111111074</v>
      </c>
      <c r="R37">
        <f t="shared" si="4"/>
        <v>96.027777777777771</v>
      </c>
      <c r="S37">
        <f t="shared" si="4"/>
        <v>29.001918158567701</v>
      </c>
      <c r="T37">
        <f t="shared" si="4"/>
        <v>20.02536231884055</v>
      </c>
      <c r="U37">
        <f t="shared" si="4"/>
        <v>50.674242424242351</v>
      </c>
      <c r="V37">
        <f t="shared" si="4"/>
        <v>74.749999999999943</v>
      </c>
      <c r="W37">
        <f t="shared" si="4"/>
        <v>450.95833333333275</v>
      </c>
      <c r="AA37" t="s">
        <v>29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BA37" t="s">
        <v>29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</row>
    <row r="38" spans="1:75" x14ac:dyDescent="0.35">
      <c r="A38" t="s">
        <v>62</v>
      </c>
      <c r="B38">
        <f>B37-B35</f>
        <v>33.986471861471728</v>
      </c>
      <c r="C38">
        <f t="shared" ref="C38:W38" si="5">C37-C35</f>
        <v>63.001262626262246</v>
      </c>
      <c r="D38">
        <f t="shared" si="5"/>
        <v>2.7829874373992258E-2</v>
      </c>
      <c r="E38">
        <f t="shared" si="5"/>
        <v>12.871085858585928</v>
      </c>
      <c r="F38">
        <f t="shared" si="5"/>
        <v>26.244047619047507</v>
      </c>
      <c r="G38">
        <f t="shared" si="5"/>
        <v>4.1344293554742284E-2</v>
      </c>
      <c r="H38">
        <f t="shared" si="5"/>
        <v>19.511677170868268</v>
      </c>
      <c r="I38">
        <f t="shared" si="5"/>
        <v>38.458042703247514</v>
      </c>
      <c r="J38">
        <f t="shared" si="5"/>
        <v>3.4978758169935287E-2</v>
      </c>
      <c r="K38">
        <f t="shared" si="5"/>
        <v>2.9071883753501782E-2</v>
      </c>
      <c r="L38">
        <f t="shared" si="5"/>
        <v>14.46501782531189</v>
      </c>
      <c r="M38">
        <f t="shared" si="5"/>
        <v>18.005176767676758</v>
      </c>
      <c r="N38">
        <f t="shared" si="5"/>
        <v>5.0569677871148744E-2</v>
      </c>
      <c r="O38">
        <f t="shared" si="5"/>
        <v>5.7212276214833722</v>
      </c>
      <c r="P38">
        <f t="shared" si="5"/>
        <v>28.140873015872742</v>
      </c>
      <c r="Q38">
        <f t="shared" si="5"/>
        <v>31.533189033188989</v>
      </c>
      <c r="R38">
        <f t="shared" si="5"/>
        <v>16.772907647907687</v>
      </c>
      <c r="S38">
        <f t="shared" si="5"/>
        <v>4.953045978116652</v>
      </c>
      <c r="T38">
        <f t="shared" si="5"/>
        <v>5.5821805006588008</v>
      </c>
      <c r="U38">
        <f t="shared" si="5"/>
        <v>7.5952950558213033</v>
      </c>
      <c r="V38">
        <f t="shared" si="5"/>
        <v>13.022727272727266</v>
      </c>
      <c r="W38">
        <f t="shared" si="5"/>
        <v>88.253787878787989</v>
      </c>
      <c r="AA38" t="s">
        <v>30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BA38" t="s">
        <v>30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</row>
    <row r="39" spans="1:75" x14ac:dyDescent="0.35">
      <c r="AA39" t="s">
        <v>31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BA39" t="s">
        <v>31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</row>
    <row r="40" spans="1:75" x14ac:dyDescent="0.35">
      <c r="A40" t="s">
        <v>63</v>
      </c>
      <c r="B40">
        <f>B33-(3*B34)</f>
        <v>77.853320116080241</v>
      </c>
      <c r="C40">
        <f t="shared" ref="C40:W40" si="6">C33-(3*C34)</f>
        <v>169.93792310436984</v>
      </c>
      <c r="D40">
        <f t="shared" si="6"/>
        <v>0.37995477587585458</v>
      </c>
      <c r="E40">
        <f t="shared" si="6"/>
        <v>15.317993831527229</v>
      </c>
      <c r="F40">
        <f t="shared" si="6"/>
        <v>49.703506198765879</v>
      </c>
      <c r="G40">
        <f t="shared" si="6"/>
        <v>0.22219614934030732</v>
      </c>
      <c r="H40">
        <f t="shared" si="6"/>
        <v>52.30286957729075</v>
      </c>
      <c r="I40">
        <f t="shared" si="6"/>
        <v>98.311525364542547</v>
      </c>
      <c r="J40">
        <f t="shared" si="6"/>
        <v>0.42549753802800527</v>
      </c>
      <c r="K40">
        <f t="shared" si="6"/>
        <v>0.4286620086725848</v>
      </c>
      <c r="L40">
        <f t="shared" si="6"/>
        <v>29.854207394326977</v>
      </c>
      <c r="M40">
        <f t="shared" si="6"/>
        <v>39.394123995714217</v>
      </c>
      <c r="N40">
        <f t="shared" si="6"/>
        <v>0.63403562519949908</v>
      </c>
      <c r="O40">
        <f t="shared" si="6"/>
        <v>16.167933326253245</v>
      </c>
      <c r="P40">
        <f t="shared" si="6"/>
        <v>66.212198963574053</v>
      </c>
      <c r="Q40">
        <f t="shared" si="6"/>
        <v>84.380981291101506</v>
      </c>
      <c r="R40">
        <f t="shared" si="6"/>
        <v>42.519705130838609</v>
      </c>
      <c r="S40">
        <f t="shared" si="6"/>
        <v>12.211704299727579</v>
      </c>
      <c r="T40">
        <f t="shared" si="6"/>
        <v>7.2025575011798395</v>
      </c>
      <c r="U40">
        <f t="shared" si="6"/>
        <v>25.561991986260864</v>
      </c>
      <c r="V40">
        <f t="shared" si="6"/>
        <v>34.703771192736838</v>
      </c>
      <c r="W40">
        <f t="shared" si="6"/>
        <v>210.18527124555112</v>
      </c>
      <c r="AA40" t="s">
        <v>32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BA40" t="s">
        <v>32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</row>
    <row r="41" spans="1:75" x14ac:dyDescent="0.35">
      <c r="A41" t="s">
        <v>64</v>
      </c>
      <c r="B41">
        <f>B33+(3*B34)</f>
        <v>213.48117284967265</v>
      </c>
      <c r="C41">
        <f t="shared" ref="C41:W41" si="7">C33+(3*C34)</f>
        <v>454.85445847011476</v>
      </c>
      <c r="D41">
        <f t="shared" si="7"/>
        <v>0.50869854480352006</v>
      </c>
      <c r="E41">
        <f t="shared" si="7"/>
        <v>74.715613071234245</v>
      </c>
      <c r="F41">
        <f t="shared" si="7"/>
        <v>195.45706580900406</v>
      </c>
      <c r="G41">
        <f t="shared" si="7"/>
        <v>0.40640514600416322</v>
      </c>
      <c r="H41">
        <f t="shared" si="7"/>
        <v>148.99801648570099</v>
      </c>
      <c r="I41">
        <f t="shared" si="7"/>
        <v>281.32028420217142</v>
      </c>
      <c r="J41">
        <f t="shared" si="7"/>
        <v>0.58888560755378094</v>
      </c>
      <c r="K41">
        <f t="shared" si="7"/>
        <v>0.59166982220231856</v>
      </c>
      <c r="L41">
        <f t="shared" si="7"/>
        <v>90.019934792723674</v>
      </c>
      <c r="M41">
        <f t="shared" si="7"/>
        <v>114.50626947705288</v>
      </c>
      <c r="N41">
        <f t="shared" si="7"/>
        <v>0.87025277101146237</v>
      </c>
      <c r="O41">
        <f t="shared" si="7"/>
        <v>53.33321757677561</v>
      </c>
      <c r="P41">
        <f t="shared" si="7"/>
        <v>177.30942722057887</v>
      </c>
      <c r="Q41">
        <f t="shared" si="7"/>
        <v>228.6417957960804</v>
      </c>
      <c r="R41">
        <f t="shared" si="7"/>
        <v>132.91516907390636</v>
      </c>
      <c r="S41">
        <f t="shared" si="7"/>
        <v>41.309271039129264</v>
      </c>
      <c r="T41">
        <f t="shared" si="7"/>
        <v>27.25080795723175</v>
      </c>
      <c r="U41">
        <f t="shared" si="7"/>
        <v>67.541929439158423</v>
      </c>
      <c r="V41">
        <f t="shared" si="7"/>
        <v>101.71061526525102</v>
      </c>
      <c r="W41">
        <f t="shared" si="7"/>
        <v>582.39146377576765</v>
      </c>
      <c r="AA41" t="s">
        <v>33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BA41" t="s">
        <v>33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</row>
    <row r="42" spans="1:75" x14ac:dyDescent="0.35">
      <c r="AA42" t="s">
        <v>34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BA42" t="s">
        <v>34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</row>
    <row r="43" spans="1:75" x14ac:dyDescent="0.35">
      <c r="A43" t="s">
        <v>65</v>
      </c>
      <c r="B43">
        <f>B33-(2*B34)</f>
        <v>100.45796223834563</v>
      </c>
      <c r="C43">
        <f t="shared" ref="C43:W43" si="8">C33-(2*C34)</f>
        <v>217.42401233199399</v>
      </c>
      <c r="D43">
        <f t="shared" si="8"/>
        <v>0.4014120706971322</v>
      </c>
      <c r="E43">
        <f t="shared" si="8"/>
        <v>25.217597038145065</v>
      </c>
      <c r="F43">
        <f t="shared" si="8"/>
        <v>73.995766133805574</v>
      </c>
      <c r="G43">
        <f t="shared" si="8"/>
        <v>0.25289764878428328</v>
      </c>
      <c r="H43">
        <f t="shared" si="8"/>
        <v>68.418727395359127</v>
      </c>
      <c r="I43">
        <f t="shared" si="8"/>
        <v>128.81298517081404</v>
      </c>
      <c r="J43">
        <f t="shared" si="8"/>
        <v>0.4527288829489679</v>
      </c>
      <c r="K43">
        <f t="shared" si="8"/>
        <v>0.45582997759420713</v>
      </c>
      <c r="L43">
        <f t="shared" si="8"/>
        <v>39.881828627393091</v>
      </c>
      <c r="M43">
        <f t="shared" si="8"/>
        <v>51.912814909270665</v>
      </c>
      <c r="N43">
        <f t="shared" si="8"/>
        <v>0.67340514950149299</v>
      </c>
      <c r="O43">
        <f t="shared" si="8"/>
        <v>22.362147368006973</v>
      </c>
      <c r="P43">
        <f t="shared" si="8"/>
        <v>84.728403673074865</v>
      </c>
      <c r="Q43">
        <f t="shared" si="8"/>
        <v>108.42445037526466</v>
      </c>
      <c r="R43">
        <f t="shared" si="8"/>
        <v>57.585615788016568</v>
      </c>
      <c r="S43">
        <f t="shared" si="8"/>
        <v>17.061298756294526</v>
      </c>
      <c r="T43">
        <f t="shared" si="8"/>
        <v>10.543932577188492</v>
      </c>
      <c r="U43">
        <f t="shared" si="8"/>
        <v>32.558648228410455</v>
      </c>
      <c r="V43">
        <f t="shared" si="8"/>
        <v>45.871578538155866</v>
      </c>
      <c r="W43">
        <f t="shared" si="8"/>
        <v>272.21963666725389</v>
      </c>
      <c r="AA43" t="s">
        <v>35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BA43" t="s">
        <v>35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</row>
    <row r="44" spans="1:75" x14ac:dyDescent="0.35">
      <c r="A44" t="s">
        <v>66</v>
      </c>
      <c r="B44">
        <f>B33+(2*B34)</f>
        <v>190.87653072740724</v>
      </c>
      <c r="C44">
        <f t="shared" ref="C44:W44" si="9">C33+(2*C34)</f>
        <v>407.36836924249059</v>
      </c>
      <c r="D44">
        <f t="shared" si="9"/>
        <v>0.48724124998224244</v>
      </c>
      <c r="E44">
        <f t="shared" si="9"/>
        <v>64.816009864616404</v>
      </c>
      <c r="F44">
        <f t="shared" si="9"/>
        <v>171.16480587396435</v>
      </c>
      <c r="G44">
        <f t="shared" si="9"/>
        <v>0.37570364656018723</v>
      </c>
      <c r="H44">
        <f t="shared" si="9"/>
        <v>132.88215866763261</v>
      </c>
      <c r="I44">
        <f t="shared" si="9"/>
        <v>250.81882439589992</v>
      </c>
      <c r="J44">
        <f t="shared" si="9"/>
        <v>0.56165426263281837</v>
      </c>
      <c r="K44">
        <f t="shared" si="9"/>
        <v>0.56450185328069635</v>
      </c>
      <c r="L44">
        <f t="shared" si="9"/>
        <v>79.992313559657561</v>
      </c>
      <c r="M44">
        <f t="shared" si="9"/>
        <v>101.98757856349643</v>
      </c>
      <c r="N44">
        <f t="shared" si="9"/>
        <v>0.83088324670946845</v>
      </c>
      <c r="O44">
        <f t="shared" si="9"/>
        <v>47.139003535021885</v>
      </c>
      <c r="P44">
        <f t="shared" si="9"/>
        <v>158.79322251107806</v>
      </c>
      <c r="Q44">
        <f t="shared" si="9"/>
        <v>204.59832671191725</v>
      </c>
      <c r="R44">
        <f t="shared" si="9"/>
        <v>117.8492584167284</v>
      </c>
      <c r="S44">
        <f t="shared" si="9"/>
        <v>36.459676582562317</v>
      </c>
      <c r="T44">
        <f t="shared" si="9"/>
        <v>23.909432881223097</v>
      </c>
      <c r="U44">
        <f t="shared" si="9"/>
        <v>60.545273197008832</v>
      </c>
      <c r="V44">
        <f t="shared" si="9"/>
        <v>90.542807919832001</v>
      </c>
      <c r="W44">
        <f t="shared" si="9"/>
        <v>520.35709835406487</v>
      </c>
      <c r="AA44" t="s">
        <v>36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BA44" t="s">
        <v>36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</row>
    <row r="45" spans="1:75" x14ac:dyDescent="0.35">
      <c r="AA45" t="s">
        <v>37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BA45" t="s">
        <v>37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</row>
    <row r="46" spans="1:75" x14ac:dyDescent="0.35">
      <c r="A46" t="s">
        <v>67</v>
      </c>
      <c r="B46">
        <f>CORREL(R2:R31, W2:W31)</f>
        <v>0.90683359175079259</v>
      </c>
      <c r="C46">
        <f>CORREL(R2:R31, T2:T31)</f>
        <v>0.70979092535459354</v>
      </c>
      <c r="D46">
        <f>CORREL(S2:S31, P2:P31)</f>
        <v>0.7632823139505156</v>
      </c>
      <c r="E46">
        <f>CORREL(P2:P31, V2:V31)</f>
        <v>0.87335288223021867</v>
      </c>
      <c r="F46">
        <f>CORREL(P2:P31, T2:T31)</f>
        <v>0.7504833648538447</v>
      </c>
      <c r="G46">
        <f>CORREL(O2:O31, P2:P31)</f>
        <v>0.85824638719739965</v>
      </c>
      <c r="H46">
        <f>CORREL(F2:F31, P2:P31)</f>
        <v>0.80758129162431536</v>
      </c>
      <c r="I46">
        <f>CORREL(C2:C31, O2:O31)</f>
        <v>0.88283071843102645</v>
      </c>
      <c r="J46">
        <f>CORREL(U2:U31, W2:W31)</f>
        <v>0.77591178322533982</v>
      </c>
      <c r="AA46" t="s">
        <v>38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BA46" t="s">
        <v>38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1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</row>
    <row r="47" spans="1:75" x14ac:dyDescent="0.35">
      <c r="B47" t="s">
        <v>68</v>
      </c>
      <c r="C47" t="s">
        <v>69</v>
      </c>
      <c r="D47" t="s">
        <v>70</v>
      </c>
      <c r="E47" t="s">
        <v>71</v>
      </c>
      <c r="F47" t="s">
        <v>72</v>
      </c>
      <c r="G47" t="s">
        <v>73</v>
      </c>
      <c r="H47" t="s">
        <v>74</v>
      </c>
      <c r="I47" t="s">
        <v>75</v>
      </c>
      <c r="J47" t="s">
        <v>76</v>
      </c>
      <c r="AA47" t="s">
        <v>39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BA47" t="s">
        <v>39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</row>
    <row r="48" spans="1:75" x14ac:dyDescent="0.35">
      <c r="AA48" t="s">
        <v>40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BA48" t="s">
        <v>40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</row>
    <row r="49" spans="27:75" x14ac:dyDescent="0.35">
      <c r="AA49" t="s">
        <v>41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BA49" t="s">
        <v>41</v>
      </c>
      <c r="BB49">
        <v>0</v>
      </c>
      <c r="BC49">
        <v>0</v>
      </c>
      <c r="BD49">
        <v>1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</row>
    <row r="50" spans="27:75" x14ac:dyDescent="0.35">
      <c r="AA50" t="s">
        <v>42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BA50" t="s">
        <v>42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</row>
    <row r="51" spans="27:75" x14ac:dyDescent="0.35">
      <c r="AA51" t="s">
        <v>43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BA51" t="s">
        <v>43</v>
      </c>
      <c r="BB51">
        <v>0</v>
      </c>
      <c r="BC51">
        <v>1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1</v>
      </c>
      <c r="BN51">
        <v>0</v>
      </c>
      <c r="BO51">
        <v>1</v>
      </c>
      <c r="BP51">
        <v>0</v>
      </c>
      <c r="BQ51">
        <v>0</v>
      </c>
      <c r="BR51">
        <v>0</v>
      </c>
      <c r="BS51">
        <v>1</v>
      </c>
      <c r="BT51">
        <v>1</v>
      </c>
      <c r="BU51">
        <v>1</v>
      </c>
      <c r="BV51">
        <v>1</v>
      </c>
      <c r="BW51">
        <v>0</v>
      </c>
    </row>
    <row r="52" spans="27:75" x14ac:dyDescent="0.35">
      <c r="AA52" t="s">
        <v>44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BA52" t="s">
        <v>44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</row>
    <row r="53" spans="27:75" x14ac:dyDescent="0.35">
      <c r="AA53" t="s">
        <v>45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BA53" t="s">
        <v>45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</row>
    <row r="54" spans="27:75" x14ac:dyDescent="0.35">
      <c r="AA54" t="s">
        <v>46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BA54" t="s">
        <v>46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</row>
    <row r="55" spans="27:75" x14ac:dyDescent="0.35">
      <c r="AA55" t="s">
        <v>47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BA55" t="s">
        <v>47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</row>
    <row r="56" spans="27:75" x14ac:dyDescent="0.35">
      <c r="AA56" t="s">
        <v>48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BA56" t="s">
        <v>48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</row>
    <row r="57" spans="27:75" x14ac:dyDescent="0.35">
      <c r="AA57" t="s">
        <v>49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BA57" t="s">
        <v>49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</row>
    <row r="58" spans="27:75" x14ac:dyDescent="0.35">
      <c r="AA58" t="s">
        <v>50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BA58" t="s">
        <v>50</v>
      </c>
      <c r="BB58">
        <v>0</v>
      </c>
      <c r="BC58">
        <v>0</v>
      </c>
      <c r="BD58">
        <v>0</v>
      </c>
      <c r="BE58">
        <v>1</v>
      </c>
      <c r="BF58">
        <v>1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</row>
    <row r="59" spans="27:75" x14ac:dyDescent="0.35">
      <c r="AA59" t="s">
        <v>51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BA59" t="s">
        <v>51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</row>
    <row r="60" spans="27:75" x14ac:dyDescent="0.35">
      <c r="AA60" t="s">
        <v>52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BA60" t="s">
        <v>52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1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</row>
    <row r="61" spans="27:75" x14ac:dyDescent="0.35">
      <c r="AA61" t="s">
        <v>53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BA61" t="s">
        <v>53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</row>
    <row r="62" spans="27:75" x14ac:dyDescent="0.35">
      <c r="AA62" t="s">
        <v>54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BA62" t="s">
        <v>54</v>
      </c>
      <c r="BB62">
        <v>0</v>
      </c>
      <c r="BC62">
        <v>0</v>
      </c>
      <c r="BD62">
        <v>0</v>
      </c>
      <c r="BE62">
        <v>1</v>
      </c>
      <c r="BF62">
        <v>1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1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</row>
    <row r="63" spans="27:75" x14ac:dyDescent="0.35">
      <c r="AA63" t="s">
        <v>55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BA63" t="s">
        <v>55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2021-avgs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Danielle Golemba</dc:creator>
  <cp:keywords/>
  <dc:description/>
  <cp:lastModifiedBy>golem</cp:lastModifiedBy>
  <cp:revision/>
  <dcterms:created xsi:type="dcterms:W3CDTF">2023-04-18T16:03:49Z</dcterms:created>
  <dcterms:modified xsi:type="dcterms:W3CDTF">2023-04-20T01:35:21Z</dcterms:modified>
  <cp:category/>
  <cp:contentStatus/>
</cp:coreProperties>
</file>